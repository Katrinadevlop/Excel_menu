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10" yWindow="-110" windowWidth="25820" windowHeight="15500" tabRatio="447" firstSheet="0" activeTab="2" autoFilterDateGrouping="1"/>
  </bookViews>
  <sheets>
    <sheet xmlns:r="http://schemas.openxmlformats.org/officeDocument/2006/relationships" name="Касса" sheetId="1" state="visible" r:id="rId1"/>
    <sheet xmlns:r="http://schemas.openxmlformats.org/officeDocument/2006/relationships" name="Завтрак" sheetId="2" state="visible" r:id="rId2"/>
    <sheet xmlns:r="http://schemas.openxmlformats.org/officeDocument/2006/relationships" name="Обед" sheetId="3" state="visible" r:id="rId3"/>
    <sheet xmlns:r="http://schemas.openxmlformats.org/officeDocument/2006/relationships" name="Гц" sheetId="4" state="visible" r:id="rId4"/>
    <sheet xmlns:r="http://schemas.openxmlformats.org/officeDocument/2006/relationships" name="Хц" sheetId="5" state="visible" r:id="rId5"/>
    <sheet xmlns:r="http://schemas.openxmlformats.org/officeDocument/2006/relationships" name="Раздача" sheetId="6" state="visible" r:id="rId6"/>
  </sheets>
  <definedNames>
    <definedName name="_xlnm.Print_Area" localSheetId="1">'Завтрак'!$A$1:$C$35</definedName>
    <definedName name="_xlnm.Print_Area" localSheetId="2">'Обед'!$A$1:$G$66</definedName>
    <definedName name="_xlnm.Print_Area" localSheetId="4">'Хц'!$A$1:$G$27</definedName>
    <definedName name="_xlnm.Print_Area" localSheetId="5">'Раздача'!$A$1:$G$43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Arial"/>
      <charset val="204"/>
      <family val="2"/>
      <sz val="10"/>
    </font>
    <font>
      <name val="Calibri"/>
      <charset val="204"/>
      <family val="2"/>
      <b val="1"/>
      <color indexed="8"/>
      <sz val="11"/>
    </font>
    <font>
      <name val="Calibri"/>
      <charset val="1"/>
      <family val="2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Arial"/>
      <charset val="204"/>
      <family val="2"/>
      <b val="1"/>
      <i val="1"/>
      <sz val="10"/>
    </font>
    <font>
      <name val="Arial"/>
      <charset val="204"/>
      <family val="2"/>
      <sz val="12"/>
    </font>
    <font>
      <name val="Calibri"/>
      <charset val="204"/>
      <family val="2"/>
      <b val="1"/>
      <color indexed="8"/>
      <sz val="12"/>
    </font>
    <font>
      <name val="Cambria"/>
      <charset val="204"/>
      <family val="1"/>
      <b val="1"/>
      <color indexed="8"/>
      <sz val="16"/>
    </font>
    <font>
      <name val="Cambria"/>
      <charset val="204"/>
      <family val="1"/>
      <color indexed="8"/>
      <sz val="12"/>
    </font>
    <font>
      <name val="Cambria"/>
      <charset val="204"/>
      <family val="1"/>
      <b val="1"/>
      <color indexed="8"/>
      <sz val="12"/>
    </font>
    <font>
      <name val="Cambria"/>
      <charset val="204"/>
      <family val="1"/>
      <b val="1"/>
      <sz val="16"/>
    </font>
    <font>
      <name val="Cambria"/>
      <charset val="204"/>
      <family val="1"/>
      <b val="1"/>
      <sz val="15"/>
    </font>
    <font>
      <name val="Cambria"/>
      <charset val="204"/>
      <family val="1"/>
      <sz val="16"/>
    </font>
    <font>
      <name val="Cambria"/>
      <charset val="204"/>
      <family val="1"/>
      <sz val="20"/>
    </font>
    <font>
      <name val="Cambria"/>
      <charset val="204"/>
      <family val="1"/>
      <b val="1"/>
      <sz val="10"/>
    </font>
    <font>
      <name val="Cambria"/>
      <charset val="204"/>
      <family val="1"/>
      <color indexed="8"/>
      <sz val="11"/>
    </font>
    <font>
      <name val="Cambria"/>
      <charset val="204"/>
      <family val="1"/>
      <b val="1"/>
      <sz val="14"/>
    </font>
    <font>
      <name val="Cambria"/>
      <charset val="204"/>
      <family val="1"/>
      <sz val="18"/>
    </font>
    <font>
      <name val="Cambria"/>
      <charset val="204"/>
      <family val="1"/>
      <b val="1"/>
      <sz val="20"/>
    </font>
    <font>
      <name val="Cambria"/>
      <charset val="204"/>
      <family val="1"/>
      <i val="1"/>
      <sz val="20"/>
    </font>
    <font>
      <name val="Cambria"/>
      <charset val="204"/>
      <family val="1"/>
      <b val="1"/>
      <i val="1"/>
      <sz val="20"/>
    </font>
    <font>
      <name val="Arial"/>
      <charset val="204"/>
      <family val="2"/>
      <sz val="16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indexed="8"/>
      <sz val="11"/>
      <scheme val="minor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b val="1"/>
      <color indexed="8"/>
      <sz val="18"/>
      <scheme val="minor"/>
    </font>
    <font>
      <name val="Calibri"/>
      <charset val="204"/>
      <family val="2"/>
      <b val="1"/>
      <sz val="18"/>
      <scheme val="minor"/>
    </font>
    <font>
      <name val="Arial"/>
      <charset val="204"/>
      <family val="2"/>
      <i val="1"/>
      <color theme="2" tint="-0.749992370372631"/>
      <sz val="10"/>
    </font>
    <font>
      <name val="Calibri"/>
      <charset val="204"/>
      <family val="2"/>
      <color indexed="8"/>
      <sz val="16"/>
      <scheme val="minor"/>
    </font>
    <font>
      <name val="Cambria"/>
      <charset val="204"/>
      <family val="1"/>
      <i val="1"/>
      <color theme="2" tint="-0.749992370372631"/>
      <sz val="10"/>
    </font>
    <font>
      <name val="Calibri"/>
      <family val="2"/>
      <color indexed="8"/>
      <sz val="12"/>
      <scheme val="minor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3" fillId="0" borderId="0"/>
  </cellStyleXfs>
  <cellXfs count="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25" fillId="0" borderId="1" applyAlignment="1" pivotButton="0" quotePrefix="0" xfId="1">
      <alignment horizontal="center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6" fillId="0" borderId="1" pivotButton="0" quotePrefix="0" xfId="0"/>
    <xf numFmtId="0" fontId="27" fillId="2" borderId="1" applyAlignment="1" pivotButton="0" quotePrefix="0" xfId="1">
      <alignment horizontal="center" vertical="center" wrapText="1"/>
    </xf>
    <xf numFmtId="0" fontId="27" fillId="0" borderId="1" applyAlignment="1" pivotButton="0" quotePrefix="0" xfId="1">
      <alignment horizontal="center" vertical="center" wrapText="1"/>
    </xf>
    <xf numFmtId="0" fontId="26" fillId="0" borderId="1" applyAlignment="1" pivotButton="0" quotePrefix="0" xfId="0">
      <alignment horizontal="center"/>
    </xf>
    <xf numFmtId="0" fontId="26" fillId="3" borderId="1" pivotButton="0" quotePrefix="0" xfId="0"/>
    <xf numFmtId="0" fontId="27" fillId="0" borderId="1" applyAlignment="1" pivotButton="0" quotePrefix="0" xfId="1">
      <alignment horizontal="center"/>
    </xf>
    <xf numFmtId="0" fontId="26" fillId="0" borderId="1" pivotButton="0" quotePrefix="0" xfId="1"/>
    <xf numFmtId="0" fontId="26" fillId="0" borderId="1" applyAlignment="1" pivotButton="0" quotePrefix="0" xfId="1">
      <alignment horizontal="center"/>
    </xf>
    <xf numFmtId="0" fontId="27" fillId="2" borderId="1" applyAlignment="1" pivotButton="0" quotePrefix="0" xfId="1">
      <alignment horizontal="center"/>
    </xf>
    <xf numFmtId="0" fontId="25" fillId="3" borderId="1" applyAlignment="1" pivotButton="0" quotePrefix="0" xfId="1">
      <alignment horizontal="center"/>
    </xf>
    <xf numFmtId="0" fontId="25" fillId="0" borderId="1" applyAlignment="1" pivotButton="0" quotePrefix="0" xfId="1">
      <alignment horizontal="left"/>
    </xf>
    <xf numFmtId="0" fontId="28" fillId="0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24" fillId="0" borderId="2" applyAlignment="1" pivotButton="0" quotePrefix="0" xfId="1">
      <alignment horizontal="center" vertical="center" wrapText="1"/>
    </xf>
    <xf numFmtId="0" fontId="24" fillId="0" borderId="1" applyAlignment="1" pivotButton="0" quotePrefix="0" xfId="1">
      <alignment horizontal="center" vertical="center" wrapText="1"/>
    </xf>
    <xf numFmtId="0" fontId="25" fillId="3" borderId="1" applyAlignment="1" pivotButton="0" quotePrefix="0" xfId="1">
      <alignment horizontal="left"/>
    </xf>
    <xf numFmtId="0" fontId="29" fillId="0" borderId="1" applyAlignment="1" pivotButton="0" quotePrefix="0" xfId="1">
      <alignment horizontal="center"/>
    </xf>
    <xf numFmtId="0" fontId="30" fillId="0" borderId="1" applyAlignment="1" pivotButton="0" quotePrefix="0" xfId="0">
      <alignment horizontal="center"/>
    </xf>
    <xf numFmtId="0" fontId="30" fillId="0" borderId="1" pivotButton="0" quotePrefix="0" xfId="0"/>
    <xf numFmtId="0" fontId="29" fillId="0" borderId="1" applyAlignment="1" pivotButton="0" quotePrefix="0" xfId="1">
      <alignment horizontal="left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 vertical="center"/>
    </xf>
    <xf numFmtId="0" fontId="31" fillId="0" borderId="0" applyAlignment="1" pivotButton="0" quotePrefix="0" xfId="0">
      <alignment horizontal="left" wrapTex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right" vertical="center"/>
    </xf>
    <xf numFmtId="0" fontId="9" fillId="0" borderId="0" applyAlignment="1" pivotButton="0" quotePrefix="0" xfId="1">
      <alignment horizontal="right" vertical="center"/>
    </xf>
    <xf numFmtId="0" fontId="10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11" fillId="3" borderId="0" applyAlignment="1" pivotButton="0" quotePrefix="0" xfId="0">
      <alignment horizontal="center" vertical="top" wrapText="1"/>
    </xf>
    <xf numFmtId="0" fontId="12" fillId="2" borderId="0" applyAlignment="1" pivotButton="0" quotePrefix="0" xfId="0">
      <alignment horizontal="center" vertical="top" wrapText="1"/>
    </xf>
    <xf numFmtId="0" fontId="13" fillId="3" borderId="0" applyAlignment="1" pivotButton="0" quotePrefix="0" xfId="0">
      <alignment horizontal="center" vertical="top" wrapText="1"/>
    </xf>
    <xf numFmtId="0" fontId="14" fillId="3" borderId="0" applyAlignment="1" pivotButton="0" quotePrefix="0" xfId="0">
      <alignment horizontal="left" vertical="top" wrapText="1"/>
    </xf>
    <xf numFmtId="0" fontId="14" fillId="3" borderId="0" applyAlignment="1" pivotButton="0" quotePrefix="0" xfId="0">
      <alignment horizontal="center" vertical="top" wrapText="1"/>
    </xf>
    <xf numFmtId="0" fontId="10" fillId="0" borderId="0" applyAlignment="1" pivotButton="0" quotePrefix="0" xfId="1">
      <alignment horizontal="center" vertical="center"/>
    </xf>
    <xf numFmtId="0" fontId="16" fillId="0" borderId="0" applyAlignment="1" pivotButton="0" quotePrefix="0" xfId="1">
      <alignment horizontal="right" vertical="top"/>
    </xf>
    <xf numFmtId="0" fontId="17" fillId="2" borderId="0" applyAlignment="1" pivotButton="0" quotePrefix="0" xfId="0">
      <alignment horizontal="center" vertical="top" wrapText="1"/>
    </xf>
    <xf numFmtId="0" fontId="12" fillId="3" borderId="0" applyAlignment="1" pivotButton="0" quotePrefix="0" xfId="0">
      <alignment horizontal="center" vertical="top" wrapText="1"/>
    </xf>
    <xf numFmtId="0" fontId="18" fillId="3" borderId="0" applyAlignment="1" pivotButton="0" quotePrefix="0" xfId="0">
      <alignment horizontal="left" vertical="top" wrapText="1"/>
    </xf>
    <xf numFmtId="0" fontId="18" fillId="3" borderId="0" applyAlignment="1" pivotButton="0" quotePrefix="0" xfId="0">
      <alignment horizontal="center" vertical="top" wrapText="1"/>
    </xf>
    <xf numFmtId="0" fontId="19" fillId="3" borderId="0" applyAlignment="1" pivotButton="0" quotePrefix="0" xfId="0">
      <alignment horizontal="center" vertical="top" wrapText="1"/>
    </xf>
    <xf numFmtId="0" fontId="32" fillId="0" borderId="0" applyAlignment="1" pivotButton="0" quotePrefix="0" xfId="1">
      <alignment horizontal="center"/>
    </xf>
    <xf numFmtId="0" fontId="20" fillId="3" borderId="0" applyAlignment="1" pivotButton="0" quotePrefix="0" xfId="0">
      <alignment horizontal="center" vertical="top" wrapText="1"/>
    </xf>
    <xf numFmtId="0" fontId="21" fillId="3" borderId="0" applyAlignment="1" pivotButton="0" quotePrefix="0" xfId="0">
      <alignment horizontal="center" vertical="top" wrapText="1"/>
    </xf>
    <xf numFmtId="0" fontId="22" fillId="0" borderId="0" pivotButton="0" quotePrefix="0" xfId="0"/>
    <xf numFmtId="0" fontId="27" fillId="3" borderId="1" applyAlignment="1" pivotButton="0" quotePrefix="0" xfId="1">
      <alignment horizontal="center" vertical="center" wrapText="1"/>
    </xf>
    <xf numFmtId="0" fontId="27" fillId="3" borderId="1" applyAlignment="1" pivotButton="0" quotePrefix="0" xfId="1">
      <alignment horizontal="center"/>
    </xf>
    <xf numFmtId="0" fontId="26" fillId="3" borderId="1" applyAlignment="1" pivotButton="0" quotePrefix="0" xfId="0">
      <alignment horizontal="center"/>
    </xf>
    <xf numFmtId="0" fontId="29" fillId="3" borderId="1" applyAlignment="1" pivotButton="0" quotePrefix="0" xfId="1">
      <alignment horizontal="center"/>
    </xf>
    <xf numFmtId="0" fontId="30" fillId="3" borderId="1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3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0" fontId="24" fillId="3" borderId="1" applyAlignment="1" pivotButton="0" quotePrefix="0" xfId="1">
      <alignment horizontal="center" vertical="center" wrapText="1"/>
    </xf>
    <xf numFmtId="0" fontId="26" fillId="3" borderId="1" pivotButton="0" quotePrefix="0" xfId="1"/>
    <xf numFmtId="0" fontId="26" fillId="3" borderId="1" applyAlignment="1" pivotButton="0" quotePrefix="0" xfId="1">
      <alignment horizontal="center"/>
    </xf>
    <xf numFmtId="0" fontId="28" fillId="3" borderId="1" pivotButton="0" quotePrefix="0" xfId="0"/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6" fillId="3" borderId="0" pivotButton="0" quotePrefix="0" xfId="0"/>
    <xf numFmtId="0" fontId="25" fillId="3" borderId="0" applyAlignment="1" pivotButton="0" quotePrefix="0" xfId="1">
      <alignment horizontal="center"/>
    </xf>
    <xf numFmtId="0" fontId="26" fillId="3" borderId="0" applyAlignment="1" pivotButton="0" quotePrefix="0" xfId="0">
      <alignment horizontal="center"/>
    </xf>
    <xf numFmtId="0" fontId="34" fillId="0" borderId="1" applyAlignment="1" pivotButton="0" quotePrefix="0" xfId="1">
      <alignment horizontal="center"/>
    </xf>
    <xf numFmtId="0" fontId="9" fillId="0" borderId="0" applyAlignment="1" pivotButton="0" quotePrefix="0" xfId="1">
      <alignment horizontal="right" vertical="top"/>
    </xf>
    <xf numFmtId="0" fontId="35" fillId="0" borderId="1" pivotButton="0" quotePrefix="0" xfId="0"/>
    <xf numFmtId="0" fontId="35" fillId="0" borderId="1" pivotButton="0" quotePrefix="0" xfId="1"/>
    <xf numFmtId="0" fontId="5" fillId="0" borderId="3" applyAlignment="1" pivotButton="0" quotePrefix="0" xfId="0">
      <alignment horizontal="left" wrapText="1"/>
    </xf>
    <xf numFmtId="0" fontId="31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right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1">
      <alignment horizontal="center" vertical="center"/>
    </xf>
    <xf numFmtId="0" fontId="15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wrapText="1"/>
    </xf>
    <xf numFmtId="0" fontId="9" fillId="0" borderId="0" applyAlignment="1" pivotButton="0" quotePrefix="0" xfId="1">
      <alignment horizontal="right" vertical="center"/>
    </xf>
    <xf numFmtId="0" fontId="5" fillId="0" borderId="0" applyAlignment="1" pivotButton="0" quotePrefix="0" xfId="0">
      <alignment horizontal="left" wrapText="1"/>
    </xf>
    <xf numFmtId="0" fontId="5" fillId="3" borderId="0" applyAlignment="1" pivotButton="0" quotePrefix="0" xfId="0">
      <alignment horizontal="left" wrapText="1"/>
    </xf>
    <xf numFmtId="0" fontId="0" fillId="0" borderId="3" pivotButton="0" quotePrefix="0" xfId="0"/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>
    <from>
      <col>0</col>
      <colOff>133350</colOff>
      <row>0</row>
      <rowOff>95250</rowOff>
    </from>
    <to>
      <col>0</col>
      <colOff>1987550</colOff>
      <row>4</row>
      <rowOff>0</rowOff>
    </to>
    <pic>
      <nvPicPr>
        <cNvPr id="13388" name="Рисунок 1" descr="Логотип-(Патриот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3350" y="95250"/>
          <a:ext cx="18542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76200</colOff>
      <row>0</row>
      <rowOff>158750</rowOff>
    </from>
    <to>
      <col>1</col>
      <colOff>958850</colOff>
      <row>3</row>
      <rowOff>254000</rowOff>
    </to>
    <pic>
      <nvPicPr>
        <cNvPr id="3" name="Рисунок 1" descr="Логотип-(Патриот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158750"/>
          <a:ext cx="2038350" cy="895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76200</colOff>
      <row>0</row>
      <rowOff>152400</rowOff>
    </from>
    <to>
      <col>1</col>
      <colOff>488950</colOff>
      <row>3</row>
      <rowOff>247650</rowOff>
    </to>
    <pic>
      <nvPicPr>
        <cNvPr id="24602" name="Рисунок 1" descr="Логотип-(Патриот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152400"/>
          <a:ext cx="2038350" cy="895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133350</colOff>
      <row>0</row>
      <rowOff>95250</rowOff>
    </from>
    <to>
      <col>0</col>
      <colOff>1987550</colOff>
      <row>4</row>
      <rowOff>0</rowOff>
    </to>
    <pic>
      <nvPicPr>
        <cNvPr id="25614" name="Рисунок 1" descr="Логотип-(Патриот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3350" y="95250"/>
          <a:ext cx="18542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133350</colOff>
      <row>0</row>
      <rowOff>95250</rowOff>
    </from>
    <to>
      <col>0</col>
      <colOff>1987550</colOff>
      <row>4</row>
      <rowOff>0</rowOff>
    </to>
    <pic>
      <nvPicPr>
        <cNvPr id="26638" name="Рисунок 1" descr="Логотип-(Патриот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3350" y="95250"/>
          <a:ext cx="18542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0</col>
      <colOff>133350</colOff>
      <row>0</row>
      <rowOff>95250</rowOff>
    </from>
    <to>
      <col>0</col>
      <colOff>1987550</colOff>
      <row>4</row>
      <rowOff>0</rowOff>
    </to>
    <pic>
      <nvPicPr>
        <cNvPr id="27662" name="Рисунок 1" descr="Логотип-(Патриот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3350" y="95250"/>
          <a:ext cx="18542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zoomScaleNormal="100" zoomScaleSheetLayoutView="85" workbookViewId="0">
      <selection activeCell="E66" sqref="E66"/>
    </sheetView>
  </sheetViews>
  <sheetFormatPr baseColWidth="8" defaultRowHeight="12.5"/>
  <cols>
    <col width="41.7265625" customWidth="1" style="78" min="1" max="1"/>
    <col width="12.54296875" customWidth="1" style="78" min="2" max="2"/>
    <col width="11.1796875" customWidth="1" style="78" min="3" max="3"/>
    <col hidden="1" width="22.08984375" customWidth="1" style="78" min="4" max="4"/>
    <col width="47.7265625" customWidth="1" style="78" min="5" max="5"/>
    <col width="13.1796875" customWidth="1" style="78" min="6" max="6"/>
    <col width="9.453125" customWidth="1" style="78" min="7" max="7"/>
    <col width="6.54296875" customWidth="1" style="78" min="8" max="9"/>
    <col width="5.453125" customWidth="1" style="78" min="10" max="10"/>
  </cols>
  <sheetData>
    <row r="1" ht="13" customHeight="1" s="78">
      <c r="A1" s="1" t="n"/>
      <c r="B1" s="1" t="n"/>
      <c r="C1" s="1" t="n"/>
      <c r="D1" s="1" t="n"/>
      <c r="E1" s="1" t="n"/>
      <c r="F1" s="1" t="n"/>
      <c r="G1" s="1" t="n"/>
      <c r="H1" s="1" t="n"/>
    </row>
    <row r="2" ht="13" customHeight="1" s="78">
      <c r="A2" s="1" t="n"/>
      <c r="B2" s="79" t="inlineStr">
        <is>
          <t>понедельник</t>
        </is>
      </c>
      <c r="D2" s="1" t="n"/>
      <c r="E2" s="77" t="inlineStr">
        <is>
          <t xml:space="preserve">Утверждаю </t>
        </is>
      </c>
      <c r="H2" s="1" t="n"/>
    </row>
    <row r="3" ht="15.5" customHeight="1" s="78">
      <c r="A3" s="1" t="n"/>
      <c r="B3" s="80" t="inlineStr">
        <is>
          <t>1 сентября</t>
        </is>
      </c>
      <c r="D3" s="1" t="n"/>
      <c r="E3" s="77" t="inlineStr">
        <is>
          <t>Директор  ООО «Патриот-Москва»</t>
        </is>
      </c>
      <c r="H3" s="1" t="n"/>
    </row>
    <row r="4" ht="13" customHeight="1" s="78">
      <c r="A4" s="1" t="n"/>
      <c r="B4" s="1" t="inlineStr">
        <is>
          <t>МЕНЮ СТОЛОВОЙ "ПАТРИОТ"</t>
        </is>
      </c>
      <c r="C4" s="1" t="n"/>
      <c r="D4" s="1" t="n"/>
      <c r="E4" s="1" t="n"/>
      <c r="F4" s="77" t="n"/>
      <c r="G4" s="77" t="inlineStr">
        <is>
          <t>_____________  Попова О.И.</t>
        </is>
      </c>
      <c r="H4" s="1" t="n"/>
    </row>
    <row r="5" ht="15.5" customHeight="1" s="78">
      <c r="A5" s="81" t="inlineStr">
        <is>
          <t>г. Москва,ул. Овчинниковская наб.,д.18/1 стр.2</t>
        </is>
      </c>
      <c r="H5" s="1" t="n"/>
      <c r="I5" s="18" t="n"/>
      <c r="J5" s="18" t="n"/>
      <c r="K5" s="20" t="n"/>
      <c r="L5" s="18" t="n"/>
    </row>
    <row r="6" ht="25.5" customHeight="1" s="78">
      <c r="A6" s="7" t="inlineStr">
        <is>
          <t>ЗАВТРАКИ</t>
        </is>
      </c>
      <c r="B6" s="22" t="inlineStr">
        <is>
          <t>Вес/ед.изм.</t>
        </is>
      </c>
      <c r="C6" s="22" t="inlineStr">
        <is>
          <t>Цена, руб.</t>
        </is>
      </c>
      <c r="D6" s="8" t="n"/>
      <c r="E6" s="7" t="inlineStr">
        <is>
          <t>ПЕРВЫЕ БЛЮДА</t>
        </is>
      </c>
      <c r="F6" s="22" t="inlineStr">
        <is>
          <t>Вес/ед.изм.</t>
        </is>
      </c>
      <c r="G6" s="22" t="inlineStr">
        <is>
          <t>Цена, руб.</t>
        </is>
      </c>
      <c r="H6" s="21" t="n"/>
      <c r="I6" s="19" t="n"/>
      <c r="J6" s="18" t="n"/>
      <c r="K6" s="20" t="n"/>
      <c r="L6" s="18" t="n"/>
    </row>
    <row r="7" ht="15.5" customHeight="1" s="78">
      <c r="A7" s="73" t="inlineStr">
        <is>
          <t>Блин с курицей и грибами</t>
        </is>
      </c>
      <c r="B7" s="3" t="inlineStr">
        <is>
          <t>1шт</t>
        </is>
      </c>
      <c r="C7" s="3" t="n">
        <v>105</v>
      </c>
      <c r="D7" s="11" t="n"/>
      <c r="E7" s="6" t="inlineStr">
        <is>
          <t>Бульон куриный с яйцом</t>
        </is>
      </c>
      <c r="F7" s="3" t="inlineStr">
        <is>
          <t>250/20г</t>
        </is>
      </c>
      <c r="G7" s="9" t="n">
        <v>110</v>
      </c>
      <c r="H7" s="4" t="n"/>
      <c r="I7" s="19" t="n"/>
      <c r="J7" s="18" t="n"/>
      <c r="K7" s="20" t="n"/>
      <c r="L7" s="18" t="n"/>
    </row>
    <row r="8" ht="15.5" customHeight="1" s="78">
      <c r="A8" s="6" t="inlineStr">
        <is>
          <t>Блин с творогом и изюмом</t>
        </is>
      </c>
      <c r="B8" s="3" t="inlineStr">
        <is>
          <t>1шт</t>
        </is>
      </c>
      <c r="C8" s="3" t="n">
        <v>95</v>
      </c>
      <c r="D8" s="11" t="n"/>
      <c r="E8" s="10" t="inlineStr">
        <is>
          <t>Рыбный суп с картофелем</t>
        </is>
      </c>
      <c r="F8" s="3" t="n">
        <v>250</v>
      </c>
      <c r="G8" s="3" t="n">
        <v>165</v>
      </c>
      <c r="H8" s="4" t="n"/>
      <c r="I8" s="19" t="n"/>
      <c r="J8" s="18" t="n"/>
      <c r="K8" s="20" t="n"/>
      <c r="L8" s="18" t="n"/>
    </row>
    <row r="9" ht="15.5" customHeight="1" s="78">
      <c r="A9" s="6" t="inlineStr">
        <is>
          <t>Блинчик без начинки</t>
        </is>
      </c>
      <c r="B9" s="3" t="inlineStr">
        <is>
          <t>1шт</t>
        </is>
      </c>
      <c r="C9" s="3" t="n">
        <v>40</v>
      </c>
      <c r="D9" s="11" t="n"/>
      <c r="E9" s="6" t="inlineStr">
        <is>
          <t>Солянка домашняя со сметаной</t>
        </is>
      </c>
      <c r="F9" s="3" t="inlineStr">
        <is>
          <t>250/15г</t>
        </is>
      </c>
      <c r="G9" s="3" t="n">
        <v>150</v>
      </c>
      <c r="H9" s="4" t="n"/>
      <c r="I9" s="19" t="n"/>
      <c r="J9" s="18" t="n"/>
      <c r="K9" s="20" t="n"/>
      <c r="L9" s="18" t="n"/>
    </row>
    <row r="10" ht="15.5" customHeight="1" s="78">
      <c r="A10" s="12" t="inlineStr">
        <is>
          <t>Горячий бутерброд с ветчиной</t>
        </is>
      </c>
      <c r="B10" s="3" t="inlineStr">
        <is>
          <t>100г</t>
        </is>
      </c>
      <c r="C10" s="3" t="n">
        <v>120</v>
      </c>
      <c r="D10" s="11" t="n"/>
      <c r="E10" s="6" t="inlineStr">
        <is>
          <t xml:space="preserve">Суп-пюре овощной с гренками </t>
        </is>
      </c>
      <c r="F10" s="3" t="inlineStr">
        <is>
          <t>250/10г</t>
        </is>
      </c>
      <c r="G10" s="3" t="n">
        <v>150</v>
      </c>
      <c r="H10" s="4" t="n"/>
      <c r="I10" s="19" t="n"/>
      <c r="J10" s="66" t="n"/>
      <c r="K10" s="67" t="n"/>
      <c r="L10" s="66" t="n"/>
      <c r="M10" s="60" t="n"/>
      <c r="N10" s="60" t="n"/>
      <c r="O10" s="60" t="n"/>
      <c r="P10" s="60" t="n"/>
    </row>
    <row r="11" ht="15.5" customHeight="1" s="78">
      <c r="A11" s="12" t="inlineStr">
        <is>
          <t>Горячий бутерброд с томатами</t>
        </is>
      </c>
      <c r="B11" s="3" t="inlineStr">
        <is>
          <t>100г</t>
        </is>
      </c>
      <c r="C11" s="3" t="n">
        <v>105</v>
      </c>
      <c r="D11" s="11" t="n"/>
      <c r="E11" s="14" t="inlineStr">
        <is>
          <t>БЛЮДА ИЗ МЯСА</t>
        </is>
      </c>
      <c r="F11" s="11" t="n"/>
      <c r="G11" s="11" t="n"/>
      <c r="H11" s="4" t="n"/>
      <c r="I11" s="19" t="n"/>
      <c r="J11" s="66" t="n"/>
      <c r="K11" s="67" t="n"/>
      <c r="L11" s="66" t="n"/>
      <c r="M11" s="60" t="n"/>
      <c r="N11" s="60" t="n"/>
      <c r="O11" s="60" t="n"/>
      <c r="P11" s="60" t="n"/>
    </row>
    <row r="12" ht="15.5" customHeight="1" s="78">
      <c r="A12" s="73" t="inlineStr">
        <is>
          <t>Дополнительно: ветчина,помидоры,сыр</t>
        </is>
      </c>
      <c r="B12" s="3" t="inlineStr">
        <is>
          <t>20г</t>
        </is>
      </c>
      <c r="C12" s="3" t="n">
        <v>50</v>
      </c>
      <c r="D12" s="11" t="n"/>
      <c r="E12" s="6" t="inlineStr">
        <is>
          <t>Азу из говядины</t>
        </is>
      </c>
      <c r="F12" s="3" t="inlineStr">
        <is>
          <t>75/75г</t>
        </is>
      </c>
      <c r="G12" s="3" t="n">
        <v>325</v>
      </c>
      <c r="H12" s="4" t="n"/>
      <c r="I12" s="19" t="n"/>
      <c r="J12" s="66" t="n"/>
      <c r="K12" s="67" t="n"/>
      <c r="L12" s="66" t="n"/>
      <c r="M12" s="60" t="n"/>
      <c r="N12" s="60" t="n"/>
      <c r="O12" s="60" t="n"/>
      <c r="P12" s="60" t="n"/>
    </row>
    <row r="13" ht="15.5" customHeight="1" s="78">
      <c r="A13" s="73" t="inlineStr">
        <is>
          <t>Драники картофельные</t>
        </is>
      </c>
      <c r="B13" s="3" t="inlineStr">
        <is>
          <t>50г</t>
        </is>
      </c>
      <c r="C13" s="3" t="n">
        <v>70</v>
      </c>
      <c r="D13" s="11" t="n"/>
      <c r="E13" s="6" t="inlineStr">
        <is>
          <t>Бифштекс рубленый с маринованныи луком</t>
        </is>
      </c>
      <c r="F13" s="3" t="inlineStr">
        <is>
          <t>100/20г</t>
        </is>
      </c>
      <c r="G13" s="3" t="n">
        <v>290</v>
      </c>
      <c r="H13" s="1" t="n"/>
      <c r="I13" s="19" t="n"/>
      <c r="J13" s="66" t="n"/>
      <c r="K13" s="67" t="n"/>
      <c r="L13" s="66" t="n"/>
      <c r="M13" s="60" t="n"/>
      <c r="N13" s="60" t="n"/>
      <c r="O13" s="60" t="n"/>
      <c r="P13" s="60" t="n"/>
    </row>
    <row r="14" ht="15.5" customHeight="1" s="78">
      <c r="A14" s="12" t="inlineStr">
        <is>
          <t>Каша геркулесовая на кокосовом молоке</t>
        </is>
      </c>
      <c r="B14" s="13" t="inlineStr">
        <is>
          <t>200г</t>
        </is>
      </c>
      <c r="C14" s="13" t="n">
        <v>110</v>
      </c>
      <c r="D14" s="11" t="n"/>
      <c r="E14" s="23" t="inlineStr">
        <is>
          <t>Буженина</t>
        </is>
      </c>
      <c r="F14" s="3" t="inlineStr">
        <is>
          <t>100г</t>
        </is>
      </c>
      <c r="G14" s="3" t="n">
        <v>275</v>
      </c>
      <c r="H14" s="4" t="n"/>
      <c r="I14" s="19" t="n"/>
      <c r="J14" s="66" t="n"/>
      <c r="K14" s="67" t="n"/>
      <c r="L14" s="66" t="n"/>
      <c r="M14" s="60" t="n"/>
      <c r="N14" s="60" t="n"/>
      <c r="O14" s="60" t="n"/>
      <c r="P14" s="60" t="n"/>
    </row>
    <row r="15" ht="15.5" customHeight="1" s="78">
      <c r="A15" s="12" t="inlineStr">
        <is>
          <t>Каша Дружба (рис, пшено)  молочная</t>
        </is>
      </c>
      <c r="B15" s="3" t="inlineStr">
        <is>
          <t>200г</t>
        </is>
      </c>
      <c r="C15" s="3" t="n">
        <v>100</v>
      </c>
      <c r="D15" s="11" t="n"/>
      <c r="E15" s="6" t="inlineStr">
        <is>
          <t>Говядина томленая в вишневом соусе</t>
        </is>
      </c>
      <c r="F15" s="3" t="inlineStr">
        <is>
          <t>100/50г</t>
        </is>
      </c>
      <c r="G15" s="3" t="n">
        <v>395</v>
      </c>
      <c r="H15" s="4" t="n"/>
      <c r="I15" s="19" t="n"/>
      <c r="J15" s="66" t="n"/>
      <c r="K15" s="67" t="n"/>
      <c r="L15" s="66" t="n"/>
      <c r="M15" s="68" t="n"/>
      <c r="N15" s="69" t="n"/>
      <c r="O15" s="69" t="n"/>
      <c r="P15" s="60" t="n"/>
    </row>
    <row r="16" ht="15.5" customHeight="1" s="78">
      <c r="A16" s="12" t="inlineStr">
        <is>
          <t>Каша манная молочная</t>
        </is>
      </c>
      <c r="B16" s="13" t="inlineStr">
        <is>
          <t>200г</t>
        </is>
      </c>
      <c r="C16" s="13" t="n">
        <v>100</v>
      </c>
      <c r="D16" s="11" t="n"/>
      <c r="E16" s="6" t="inlineStr">
        <is>
          <t xml:space="preserve">Ежики Домашние в красном соусе </t>
        </is>
      </c>
      <c r="F16" s="3" t="inlineStr">
        <is>
          <t>100/50г</t>
        </is>
      </c>
      <c r="G16" s="3" t="n">
        <v>200</v>
      </c>
      <c r="H16" s="19" t="n"/>
      <c r="I16" s="19" t="n"/>
      <c r="J16" s="66" t="n"/>
      <c r="K16" s="67" t="n"/>
      <c r="L16" s="66" t="n"/>
      <c r="M16" s="60" t="n"/>
      <c r="N16" s="60" t="n"/>
      <c r="O16" s="60" t="n"/>
      <c r="P16" s="60" t="n"/>
    </row>
    <row r="17" ht="15.5" customHeight="1" s="78">
      <c r="A17" s="6" t="inlineStr">
        <is>
          <t>Кесадилья с курицей и грибами</t>
        </is>
      </c>
      <c r="B17" s="3" t="inlineStr">
        <is>
          <t>100г</t>
        </is>
      </c>
      <c r="C17" s="3" t="n">
        <v>160</v>
      </c>
      <c r="D17" s="11" t="n"/>
      <c r="E17" s="6" t="inlineStr">
        <is>
          <t>Котлета жареная курица/свинина</t>
        </is>
      </c>
      <c r="F17" s="3" t="inlineStr">
        <is>
          <t>100г</t>
        </is>
      </c>
      <c r="G17" s="3" t="n">
        <v>195</v>
      </c>
      <c r="H17" s="19" t="n"/>
      <c r="I17" s="19" t="n"/>
      <c r="J17" s="18" t="n"/>
      <c r="K17" s="20" t="n"/>
      <c r="L17" s="18" t="n"/>
      <c r="P17" s="60" t="n"/>
    </row>
    <row r="18" ht="15.5" customHeight="1" s="78">
      <c r="A18" s="6" t="inlineStr">
        <is>
          <t>Колбаса жареная</t>
        </is>
      </c>
      <c r="B18" s="3" t="inlineStr">
        <is>
          <t>50г</t>
        </is>
      </c>
      <c r="C18" s="3" t="n">
        <v>95</v>
      </c>
      <c r="D18" s="11" t="n"/>
      <c r="E18" s="14" t="inlineStr">
        <is>
          <t>БЛЮДА ИЗ ПТИЦЫ</t>
        </is>
      </c>
      <c r="F18" s="11" t="n"/>
      <c r="G18" s="11" t="n"/>
      <c r="H18" s="19" t="n"/>
      <c r="I18" s="19" t="n"/>
      <c r="J18" s="18" t="n"/>
      <c r="K18" s="20" t="n"/>
      <c r="L18" s="18" t="n"/>
    </row>
    <row r="19" ht="15.5" customHeight="1" s="78">
      <c r="A19" s="74" t="inlineStr">
        <is>
          <t>Крок-мадам</t>
        </is>
      </c>
      <c r="B19" s="3" t="inlineStr">
        <is>
          <t>160г</t>
        </is>
      </c>
      <c r="C19" s="3" t="n">
        <v>190</v>
      </c>
      <c r="D19" s="17" t="n"/>
      <c r="E19" s="6" t="inlineStr">
        <is>
          <t>Грудка куриная отварная</t>
        </is>
      </c>
      <c r="F19" s="3" t="inlineStr">
        <is>
          <t>100г</t>
        </is>
      </c>
      <c r="G19" s="71" t="n">
        <v>215</v>
      </c>
      <c r="H19" s="19" t="n"/>
      <c r="I19" s="19" t="n"/>
      <c r="J19" s="18" t="n"/>
      <c r="K19" s="20" t="n"/>
      <c r="L19" s="18" t="n"/>
    </row>
    <row r="20" ht="15.5" customHeight="1" s="78">
      <c r="A20" s="74" t="inlineStr">
        <is>
          <t>Оладьи из кабачков</t>
        </is>
      </c>
      <c r="B20" s="3" t="inlineStr">
        <is>
          <t>50г</t>
        </is>
      </c>
      <c r="C20" s="3" t="n">
        <v>70</v>
      </c>
      <c r="D20" s="11" t="n"/>
      <c r="E20" s="10" t="inlineStr">
        <is>
          <t>Грудка куриная гриль</t>
        </is>
      </c>
      <c r="F20" s="3" t="inlineStr">
        <is>
          <t>100г</t>
        </is>
      </c>
      <c r="G20" s="3" t="n">
        <v>215</v>
      </c>
      <c r="H20" s="19" t="n"/>
      <c r="I20" s="19" t="n"/>
      <c r="J20" s="18" t="n"/>
      <c r="K20" s="20" t="n"/>
      <c r="L20" s="18" t="n"/>
    </row>
    <row r="21" ht="15.5" customHeight="1" s="78">
      <c r="A21" s="73" t="inlineStr">
        <is>
          <t>Омлет на заказ</t>
        </is>
      </c>
      <c r="B21" s="3" t="inlineStr">
        <is>
          <t>120г</t>
        </is>
      </c>
      <c r="C21" s="3" t="n">
        <v>125</v>
      </c>
      <c r="D21" s="11" t="n"/>
      <c r="E21" s="6" t="inlineStr">
        <is>
          <t>Грудка запеченая со шпинатом</t>
        </is>
      </c>
      <c r="F21" s="3" t="inlineStr">
        <is>
          <t>100г</t>
        </is>
      </c>
      <c r="G21" s="3" t="n">
        <v>215</v>
      </c>
      <c r="H21" s="19" t="n"/>
      <c r="I21" s="20" t="n"/>
      <c r="J21" s="18" t="n"/>
      <c r="K21" s="20" t="n"/>
      <c r="L21" s="18" t="n"/>
    </row>
    <row r="22" ht="15.5" customHeight="1" s="78">
      <c r="A22" s="6" t="inlineStr">
        <is>
          <t>Омлет/Омлет с болгарским перцем</t>
        </is>
      </c>
      <c r="B22" s="3" t="inlineStr">
        <is>
          <t>170/200</t>
        </is>
      </c>
      <c r="C22" s="3" t="inlineStr">
        <is>
          <t>140/150</t>
        </is>
      </c>
      <c r="D22" s="11" t="n"/>
      <c r="E22" s="6" t="inlineStr">
        <is>
          <t>Котлета куриная паровая</t>
        </is>
      </c>
      <c r="F22" s="3" t="inlineStr">
        <is>
          <t>100г</t>
        </is>
      </c>
      <c r="G22" s="3" t="n">
        <v>195</v>
      </c>
      <c r="H22" s="19" t="n"/>
      <c r="I22" s="20" t="n"/>
      <c r="J22" s="18" t="n"/>
      <c r="K22" s="20" t="n"/>
      <c r="L22" s="18" t="n"/>
    </row>
    <row r="23" ht="15.5" customHeight="1" s="78">
      <c r="A23" s="6" t="inlineStr">
        <is>
          <t>Пудинг творожный с курагой</t>
        </is>
      </c>
      <c r="B23" s="3" t="inlineStr">
        <is>
          <t>125г</t>
        </is>
      </c>
      <c r="C23" s="3" t="n">
        <v>190</v>
      </c>
      <c r="D23" s="11" t="n"/>
      <c r="E23" s="6" t="inlineStr">
        <is>
          <t>Котлета Пожарская в сухарях</t>
        </is>
      </c>
      <c r="F23" s="3" t="inlineStr">
        <is>
          <t>110г</t>
        </is>
      </c>
      <c r="G23" s="3" t="n">
        <v>205</v>
      </c>
      <c r="H23" s="19" t="n"/>
      <c r="I23" s="20" t="n"/>
      <c r="J23" s="18" t="n"/>
      <c r="K23" s="20" t="n"/>
      <c r="L23" s="18" t="n"/>
    </row>
    <row r="24" ht="15.5" customHeight="1" s="78">
      <c r="A24" s="12" t="inlineStr">
        <is>
          <t>Сосиска отварная /жареная</t>
        </is>
      </c>
      <c r="B24" s="3" t="inlineStr">
        <is>
          <t>1шт</t>
        </is>
      </c>
      <c r="C24" s="3" t="n">
        <v>100</v>
      </c>
      <c r="D24" s="11" t="n"/>
      <c r="E24" s="6" t="inlineStr">
        <is>
          <t>Плов с курицей</t>
        </is>
      </c>
      <c r="F24" s="3" t="inlineStr">
        <is>
          <t>250г</t>
        </is>
      </c>
      <c r="G24" s="3" t="n">
        <v>240</v>
      </c>
      <c r="H24" s="19" t="n"/>
      <c r="I24" s="20" t="n"/>
      <c r="J24" s="18" t="n"/>
      <c r="K24" s="20" t="n"/>
      <c r="L24" s="18" t="n"/>
    </row>
    <row r="25" ht="15.5" customHeight="1" s="78">
      <c r="A25" s="12" t="inlineStr">
        <is>
          <t>Сосиска с беконом</t>
        </is>
      </c>
      <c r="B25" s="3" t="inlineStr">
        <is>
          <t>1шт</t>
        </is>
      </c>
      <c r="C25" s="3" t="n">
        <v>155</v>
      </c>
      <c r="D25" s="11" t="n"/>
      <c r="E25" s="14" t="inlineStr">
        <is>
          <t>БЛЮДА ИЗ РЫБЫ</t>
        </is>
      </c>
      <c r="F25" s="3" t="n"/>
      <c r="G25" s="15" t="n"/>
      <c r="H25" s="19" t="n"/>
      <c r="I25" s="20" t="n"/>
      <c r="J25" s="18" t="n"/>
      <c r="K25" s="20" t="n"/>
      <c r="L25" s="18" t="n"/>
    </row>
    <row r="26" ht="15.5" customHeight="1" s="78">
      <c r="A26" s="12" t="inlineStr">
        <is>
          <t>Сосиска с сыром</t>
        </is>
      </c>
      <c r="B26" s="3" t="inlineStr">
        <is>
          <t>1шт</t>
        </is>
      </c>
      <c r="C26" s="3" t="n">
        <v>125</v>
      </c>
      <c r="D26" s="11" t="n"/>
      <c r="E26" s="16" t="inlineStr">
        <is>
          <t>Котлета по-приморски</t>
        </is>
      </c>
      <c r="F26" s="3" t="inlineStr">
        <is>
          <t>100г</t>
        </is>
      </c>
      <c r="G26" s="3" t="n">
        <v>225</v>
      </c>
      <c r="H26" s="19" t="n"/>
      <c r="I26" s="20" t="n"/>
      <c r="J26" s="18" t="n"/>
      <c r="K26" s="20" t="n"/>
      <c r="L26" s="18" t="n"/>
    </row>
    <row r="27" ht="15.5" customHeight="1" s="78">
      <c r="A27" s="74" t="inlineStr">
        <is>
          <t>Сырники</t>
        </is>
      </c>
      <c r="B27" s="3" t="inlineStr">
        <is>
          <t>1шт</t>
        </is>
      </c>
      <c r="C27" s="3" t="n">
        <v>90</v>
      </c>
      <c r="D27" s="11" t="n"/>
      <c r="E27" s="6" t="inlineStr">
        <is>
          <t>Пангасиус под маринадом</t>
        </is>
      </c>
      <c r="F27" s="3" t="inlineStr">
        <is>
          <t>100г</t>
        </is>
      </c>
      <c r="G27" s="9" t="n">
        <v>220</v>
      </c>
      <c r="H27" s="19" t="n"/>
      <c r="I27" s="20" t="n"/>
      <c r="J27" s="18" t="n"/>
      <c r="K27" s="20" t="n"/>
      <c r="L27" s="18" t="n"/>
    </row>
    <row r="28" ht="15.5" customHeight="1" s="78">
      <c r="A28" s="74" t="inlineStr">
        <is>
          <t>Хашбраун с яйцом и беконом</t>
        </is>
      </c>
      <c r="B28" s="3" t="inlineStr">
        <is>
          <t>120г</t>
        </is>
      </c>
      <c r="C28" s="3" t="n">
        <v>170</v>
      </c>
      <c r="D28" s="11" t="n"/>
      <c r="E28" s="10" t="inlineStr">
        <is>
          <t>Филе форели гриль</t>
        </is>
      </c>
      <c r="F28" s="3" t="inlineStr">
        <is>
          <t>100г</t>
        </is>
      </c>
      <c r="G28" s="3" t="n">
        <v>500</v>
      </c>
      <c r="H28" s="19" t="n"/>
      <c r="I28" s="20" t="n"/>
      <c r="J28" s="18" t="n"/>
      <c r="K28" s="20" t="n"/>
      <c r="L28" s="18" t="n"/>
    </row>
    <row r="29" ht="15.5" customHeight="1" s="78">
      <c r="A29" s="6" t="inlineStr">
        <is>
          <t>Яйцо жареное/отварное</t>
        </is>
      </c>
      <c r="B29" s="3" t="inlineStr">
        <is>
          <t>1шт</t>
        </is>
      </c>
      <c r="C29" s="3" t="inlineStr">
        <is>
          <t>55/50</t>
        </is>
      </c>
      <c r="D29" s="11" t="n"/>
      <c r="E29" s="10" t="inlineStr">
        <is>
          <t xml:space="preserve">Хек жареный по-домашнему </t>
        </is>
      </c>
      <c r="F29" s="3" t="inlineStr">
        <is>
          <t>вес/100г</t>
        </is>
      </c>
      <c r="G29" s="9" t="n">
        <v>230</v>
      </c>
      <c r="H29" s="19" t="n"/>
      <c r="I29" s="20" t="n"/>
      <c r="J29" s="18" t="n"/>
      <c r="K29" s="20" t="n"/>
      <c r="L29" s="18" t="n"/>
    </row>
    <row r="30" ht="15.5" customHeight="1" s="78">
      <c r="A30" s="7" t="inlineStr">
        <is>
          <t>САЛАТЫ и ХОЛОДНЫЕ ЗАКУСКИ</t>
        </is>
      </c>
      <c r="B30" s="11" t="n"/>
      <c r="C30" s="11" t="n"/>
      <c r="D30" s="11" t="n"/>
      <c r="E30" s="14" t="inlineStr">
        <is>
          <t>ГАРНИРЫ</t>
        </is>
      </c>
      <c r="F30" s="11" t="n"/>
      <c r="G30" s="11" t="n"/>
      <c r="H30" s="19" t="n"/>
      <c r="I30" s="20" t="n"/>
      <c r="J30" s="18" t="n"/>
      <c r="K30" s="20" t="n"/>
      <c r="L30" s="18" t="n"/>
    </row>
    <row r="31" ht="15.5" customHeight="1" s="78">
      <c r="A31" s="6" t="inlineStr">
        <is>
          <t>Греческий салат</t>
        </is>
      </c>
      <c r="B31" s="3" t="inlineStr">
        <is>
          <t>175г</t>
        </is>
      </c>
      <c r="C31" s="9" t="n">
        <v>250</v>
      </c>
      <c r="D31" s="11" t="n"/>
      <c r="E31" s="6" t="inlineStr">
        <is>
          <t>Баклажаны с томатами гриль и песто</t>
        </is>
      </c>
      <c r="F31" s="3" t="inlineStr">
        <is>
          <t>150г</t>
        </is>
      </c>
      <c r="G31" s="9" t="n">
        <v>140</v>
      </c>
      <c r="H31" s="19" t="n"/>
      <c r="I31" s="20" t="n"/>
      <c r="J31" s="18" t="n"/>
      <c r="K31" s="68" t="n"/>
      <c r="L31" s="69" t="n"/>
      <c r="M31" s="70" t="n"/>
    </row>
    <row r="32" ht="15.5" customHeight="1" s="78">
      <c r="A32" s="6" t="inlineStr">
        <is>
          <t>Жозефина</t>
        </is>
      </c>
      <c r="B32" s="3" t="inlineStr">
        <is>
          <t>100г</t>
        </is>
      </c>
      <c r="C32" s="9" t="n">
        <v>110</v>
      </c>
      <c r="D32" s="11" t="n"/>
      <c r="E32" s="6" t="inlineStr">
        <is>
          <t>Гречка отварная</t>
        </is>
      </c>
      <c r="F32" s="3" t="inlineStr">
        <is>
          <t>150г</t>
        </is>
      </c>
      <c r="G32" s="3" t="n">
        <v>65</v>
      </c>
      <c r="H32" s="19" t="n"/>
      <c r="I32" s="20" t="n"/>
      <c r="J32" s="18" t="n"/>
      <c r="K32" s="67" t="n"/>
      <c r="L32" s="66" t="n"/>
      <c r="M32" s="60" t="n"/>
    </row>
    <row r="33" ht="15.5" customHeight="1" s="78">
      <c r="A33" s="6" t="inlineStr">
        <is>
          <t>Капуста с перцем</t>
        </is>
      </c>
      <c r="B33" s="3" t="inlineStr">
        <is>
          <t>100г</t>
        </is>
      </c>
      <c r="C33" s="9" t="n">
        <v>70</v>
      </c>
      <c r="D33" s="11" t="n"/>
      <c r="E33" s="6" t="inlineStr">
        <is>
          <t>Картофель отварной с зеленью</t>
        </is>
      </c>
      <c r="F33" s="3" t="inlineStr">
        <is>
          <t>200г</t>
        </is>
      </c>
      <c r="G33" s="9" t="n">
        <v>120</v>
      </c>
      <c r="H33" s="19" t="n"/>
      <c r="I33" s="20" t="n"/>
      <c r="J33" s="18" t="n"/>
      <c r="K33" s="20" t="n"/>
      <c r="L33" s="18" t="n"/>
    </row>
    <row r="34" ht="15.5" customHeight="1" s="78">
      <c r="A34" s="6" t="inlineStr">
        <is>
          <t>Коулслоу</t>
        </is>
      </c>
      <c r="B34" s="3" t="inlineStr">
        <is>
          <t>100г</t>
        </is>
      </c>
      <c r="C34" s="9" t="n">
        <v>75</v>
      </c>
      <c r="D34" s="11" t="n"/>
      <c r="E34" s="6" t="inlineStr">
        <is>
          <t>Картофель по-деревенски</t>
        </is>
      </c>
      <c r="F34" s="3" t="inlineStr">
        <is>
          <t>150г</t>
        </is>
      </c>
      <c r="G34" s="9" t="n">
        <v>120</v>
      </c>
      <c r="H34" s="19" t="n"/>
      <c r="I34" s="20" t="n"/>
      <c r="J34" s="18" t="n"/>
      <c r="K34" s="20" t="n"/>
      <c r="L34" s="18" t="n"/>
    </row>
    <row r="35" ht="15.5" customHeight="1" s="78">
      <c r="A35" s="6" t="inlineStr">
        <is>
          <t>Куропатка салат</t>
        </is>
      </c>
      <c r="B35" s="3" t="inlineStr">
        <is>
          <t>100г</t>
        </is>
      </c>
      <c r="C35" s="9" t="n">
        <v>115</v>
      </c>
      <c r="D35" s="11" t="n"/>
      <c r="E35" s="6" t="inlineStr">
        <is>
          <t>Кукуруза с фасолью и болгарским перцем</t>
        </is>
      </c>
      <c r="F35" s="3" t="inlineStr">
        <is>
          <t>150г</t>
        </is>
      </c>
      <c r="G35" s="9" t="n">
        <v>150</v>
      </c>
      <c r="H35" s="19" t="n"/>
      <c r="I35" s="20" t="n"/>
      <c r="J35" s="18" t="n"/>
      <c r="K35" s="20" t="n"/>
      <c r="L35" s="18" t="n"/>
    </row>
    <row r="36" ht="15.5" customHeight="1" s="78">
      <c r="A36" s="6" t="inlineStr">
        <is>
          <t>Мясной салат</t>
        </is>
      </c>
      <c r="B36" s="3" t="inlineStr">
        <is>
          <t>100г</t>
        </is>
      </c>
      <c r="C36" s="9" t="n">
        <v>130</v>
      </c>
      <c r="D36" s="11" t="n"/>
      <c r="E36" s="6" t="inlineStr">
        <is>
          <t>Кускус с грибами,луком и морковью</t>
        </is>
      </c>
      <c r="F36" s="3" t="inlineStr">
        <is>
          <t>150г</t>
        </is>
      </c>
      <c r="G36" s="9" t="n">
        <v>110</v>
      </c>
      <c r="H36" s="19" t="n"/>
      <c r="I36" s="20" t="n"/>
      <c r="J36" s="18" t="n"/>
      <c r="K36" s="20" t="n"/>
      <c r="L36" s="18" t="n"/>
    </row>
    <row r="37" ht="15.5" customHeight="1" s="78">
      <c r="A37" s="6" t="inlineStr">
        <is>
          <t>Помидоры с базиликовой заправкой</t>
        </is>
      </c>
      <c r="B37" s="3" t="inlineStr">
        <is>
          <t>100г</t>
        </is>
      </c>
      <c r="C37" s="9" t="n">
        <v>90</v>
      </c>
      <c r="D37" s="11" t="n"/>
      <c r="E37" s="6" t="inlineStr">
        <is>
          <t xml:space="preserve">Макароны отварные </t>
        </is>
      </c>
      <c r="F37" s="3" t="inlineStr">
        <is>
          <t>150г</t>
        </is>
      </c>
      <c r="G37" s="9" t="n">
        <v>70</v>
      </c>
      <c r="H37" s="19" t="n"/>
      <c r="I37" s="20" t="n"/>
      <c r="J37" s="18" t="n"/>
      <c r="K37" s="20" t="n"/>
      <c r="L37" s="18" t="n"/>
    </row>
    <row r="38" ht="15.5" customHeight="1" s="78">
      <c r="A38" s="6" t="inlineStr">
        <is>
          <t>Редис с огурцом и растительным маслом</t>
        </is>
      </c>
      <c r="B38" s="3" t="inlineStr">
        <is>
          <t>100г</t>
        </is>
      </c>
      <c r="C38" s="9" t="n">
        <v>90</v>
      </c>
      <c r="D38" s="11" t="n"/>
      <c r="E38" s="6" t="inlineStr">
        <is>
          <t>Рис отварной</t>
        </is>
      </c>
      <c r="F38" s="3" t="inlineStr">
        <is>
          <t>150г</t>
        </is>
      </c>
      <c r="G38" s="9" t="n">
        <v>70</v>
      </c>
      <c r="H38" s="19" t="n"/>
      <c r="I38" s="20" t="n"/>
      <c r="J38" s="18" t="n"/>
      <c r="K38" s="20" t="n"/>
      <c r="L38" s="18" t="n"/>
    </row>
    <row r="39" ht="15.5" customHeight="1" s="78">
      <c r="A39" s="6" t="inlineStr">
        <is>
          <t>Салат Баклажаны и сыр фета</t>
        </is>
      </c>
      <c r="B39" s="3" t="inlineStr">
        <is>
          <t>100г</t>
        </is>
      </c>
      <c r="C39" s="9" t="n">
        <v>125</v>
      </c>
      <c r="D39" s="17" t="n"/>
      <c r="E39" s="14" t="inlineStr">
        <is>
          <t>НАПИТКИ</t>
        </is>
      </c>
      <c r="F39" s="11" t="n"/>
      <c r="G39" s="11" t="n"/>
      <c r="H39" s="4" t="n"/>
      <c r="I39" s="19" t="n"/>
      <c r="J39" s="18" t="n"/>
      <c r="K39" s="20" t="n"/>
      <c r="L39" s="18" t="n"/>
    </row>
    <row r="40" ht="15.5" customHeight="1" s="78">
      <c r="A40" s="6" t="inlineStr">
        <is>
          <t>Салат с сайрой</t>
        </is>
      </c>
      <c r="B40" s="3" t="inlineStr">
        <is>
          <t>100г</t>
        </is>
      </c>
      <c r="C40" s="9" t="n">
        <v>110</v>
      </c>
      <c r="D40" s="11" t="n"/>
      <c r="E40" s="6" t="inlineStr">
        <is>
          <t>Напиток охл.в стакане/в бутылке</t>
        </is>
      </c>
      <c r="F40" s="3" t="inlineStr">
        <is>
          <t>200/300мл</t>
        </is>
      </c>
      <c r="G40" s="3" t="inlineStr">
        <is>
          <t>60/80</t>
        </is>
      </c>
      <c r="H40" s="4" t="n"/>
      <c r="I40" s="19" t="n"/>
      <c r="J40" s="18" t="n"/>
      <c r="K40" s="20" t="n"/>
      <c r="L40" s="18" t="n"/>
    </row>
    <row r="41" ht="16.5" customHeight="1" s="78">
      <c r="A41" s="6" t="inlineStr">
        <is>
          <t>Свекла с яблоком и арахисом</t>
        </is>
      </c>
      <c r="B41" s="3" t="inlineStr">
        <is>
          <t>100г</t>
        </is>
      </c>
      <c r="C41" s="9" t="n">
        <v>80</v>
      </c>
      <c r="D41" s="11" t="n"/>
      <c r="E41" s="6" t="inlineStr">
        <is>
          <t>Смузи клубника/шпинат</t>
        </is>
      </c>
      <c r="F41" s="3" t="inlineStr">
        <is>
          <t>300мл</t>
        </is>
      </c>
      <c r="G41" s="9" t="inlineStr">
        <is>
          <t>240/240</t>
        </is>
      </c>
      <c r="H41" s="1" t="n"/>
      <c r="I41" s="19" t="n"/>
      <c r="J41" s="18" t="n"/>
      <c r="K41" s="20" t="n"/>
      <c r="L41" s="18" t="n"/>
    </row>
    <row r="42" ht="16.5" customHeight="1" s="78">
      <c r="A42" s="6" t="inlineStr">
        <is>
          <t>Цезарь с курицей/с креветками</t>
        </is>
      </c>
      <c r="B42" s="3" t="inlineStr">
        <is>
          <t>200/200г</t>
        </is>
      </c>
      <c r="C42" s="9" t="inlineStr">
        <is>
          <t>275/385</t>
        </is>
      </c>
      <c r="D42" s="17" t="n"/>
      <c r="E42" s="6" t="inlineStr">
        <is>
          <t>Фреш апельсиновый/морковный</t>
        </is>
      </c>
      <c r="F42" s="3" t="inlineStr">
        <is>
          <t>300мл</t>
        </is>
      </c>
      <c r="G42" s="9" t="inlineStr">
        <is>
          <t>320/225</t>
        </is>
      </c>
      <c r="H42" s="4" t="n"/>
      <c r="I42" s="19" t="n"/>
      <c r="J42" s="18" t="n"/>
      <c r="K42" s="20" t="n"/>
      <c r="L42" s="18" t="n"/>
    </row>
    <row r="43" ht="16.5" customHeight="1" s="78">
      <c r="A43" s="14" t="inlineStr">
        <is>
          <t>СЭНДВИЧИ</t>
        </is>
      </c>
      <c r="B43" s="24" t="n"/>
      <c r="C43" s="25" t="n"/>
      <c r="D43" s="17" t="n"/>
      <c r="E43" s="6" t="inlineStr">
        <is>
          <t>Чай фруктовый в ассортименте</t>
        </is>
      </c>
      <c r="F43" s="3" t="inlineStr">
        <is>
          <t>225 мл</t>
        </is>
      </c>
      <c r="G43" s="9" t="n">
        <v>75</v>
      </c>
      <c r="I43" s="19" t="n"/>
      <c r="J43" s="18" t="n"/>
      <c r="K43" s="20" t="n"/>
      <c r="L43" s="18" t="n"/>
    </row>
    <row r="44" ht="14.25" customHeight="1" s="78">
      <c r="A44" s="6" t="inlineStr">
        <is>
          <t>Сэндвич с бужениной</t>
        </is>
      </c>
      <c r="B44" s="3" t="inlineStr">
        <is>
          <t>180г</t>
        </is>
      </c>
      <c r="C44" s="9" t="n">
        <v>200</v>
      </c>
      <c r="D44" s="11" t="n"/>
      <c r="E44" s="14" t="inlineStr">
        <is>
          <t>ХЛЕБ</t>
        </is>
      </c>
      <c r="F44" s="11" t="n"/>
      <c r="G44" s="11" t="n"/>
      <c r="H44" s="5" t="n"/>
      <c r="I44" s="19" t="n"/>
      <c r="J44" s="18" t="n"/>
      <c r="K44" s="20" t="n"/>
      <c r="L44" s="18" t="n"/>
    </row>
    <row r="45" ht="15.5" customHeight="1" s="78">
      <c r="A45" s="6" t="inlineStr">
        <is>
          <t>Сэндвич с ветчиной и сыром</t>
        </is>
      </c>
      <c r="B45" s="3" t="inlineStr">
        <is>
          <t>180г</t>
        </is>
      </c>
      <c r="C45" s="9" t="n">
        <v>195</v>
      </c>
      <c r="D45" s="17" t="n"/>
      <c r="E45" s="6" t="inlineStr">
        <is>
          <t>Мини-багет</t>
        </is>
      </c>
      <c r="F45" s="3" t="inlineStr">
        <is>
          <t>шт/45г</t>
        </is>
      </c>
      <c r="G45" s="3" t="n">
        <v>20</v>
      </c>
      <c r="H45" s="1" t="n"/>
      <c r="I45" s="19" t="n"/>
      <c r="J45" s="18" t="n"/>
      <c r="K45" s="20" t="n"/>
      <c r="L45" s="18" t="n"/>
    </row>
    <row r="46" ht="15.5" customHeight="1" s="78">
      <c r="A46" s="6" t="inlineStr">
        <is>
          <t>Сэндвич с куриной грудкой</t>
        </is>
      </c>
      <c r="B46" s="3" t="inlineStr">
        <is>
          <t>180г</t>
        </is>
      </c>
      <c r="C46" s="9" t="n">
        <v>195</v>
      </c>
      <c r="D46" s="11" t="n"/>
      <c r="E46" s="6" t="inlineStr">
        <is>
          <t>Хлеб Пшеничный/Ржаной</t>
        </is>
      </c>
      <c r="F46" s="3" t="inlineStr">
        <is>
          <t>кусок/25г</t>
        </is>
      </c>
      <c r="G46" s="9" t="n">
        <v>10</v>
      </c>
      <c r="H46" s="1" t="n"/>
      <c r="I46" s="19" t="n"/>
      <c r="J46" s="18" t="n"/>
      <c r="K46" s="20" t="n"/>
      <c r="L46" s="18" t="n"/>
    </row>
    <row r="47" ht="16.5" customHeight="1" s="78">
      <c r="A47" s="6" t="inlineStr">
        <is>
          <t>Сэндвич с форелью</t>
        </is>
      </c>
      <c r="B47" s="3" t="inlineStr">
        <is>
          <t>180г</t>
        </is>
      </c>
      <c r="C47" s="9" t="n">
        <v>295</v>
      </c>
      <c r="D47" s="17" t="n"/>
      <c r="E47" s="14" t="inlineStr">
        <is>
          <t>СОУСЫ</t>
        </is>
      </c>
      <c r="F47" s="11" t="n"/>
      <c r="G47" s="11" t="n"/>
      <c r="H47" s="1" t="n"/>
      <c r="I47" s="19" t="n"/>
      <c r="J47" s="18" t="n"/>
      <c r="K47" s="20" t="n"/>
      <c r="L47" s="18" t="n"/>
    </row>
    <row r="48" ht="15.75" customHeight="1" s="78">
      <c r="A48" s="14" t="inlineStr">
        <is>
          <t>ПЕЛЬМЕНИ</t>
        </is>
      </c>
      <c r="B48" s="26" t="n"/>
      <c r="C48" s="26" t="n"/>
      <c r="D48" s="17" t="n"/>
      <c r="E48" s="6" t="inlineStr">
        <is>
          <t>Горчица</t>
        </is>
      </c>
      <c r="F48" s="3" t="inlineStr">
        <is>
          <t>10г</t>
        </is>
      </c>
      <c r="G48" s="3" t="n">
        <v>20</v>
      </c>
      <c r="H48" s="1" t="n"/>
      <c r="I48" s="19" t="n"/>
      <c r="J48" s="18" t="n"/>
      <c r="K48" s="20" t="n"/>
      <c r="L48" s="18" t="n"/>
    </row>
    <row r="49" ht="15.75" customHeight="1" s="78">
      <c r="A49" s="6" t="inlineStr">
        <is>
          <t>Пельмени Домашние</t>
        </is>
      </c>
      <c r="B49" s="3" t="inlineStr">
        <is>
          <t>240г</t>
        </is>
      </c>
      <c r="C49" s="3" t="n">
        <v>255</v>
      </c>
      <c r="D49" s="11" t="n"/>
      <c r="E49" s="6" t="inlineStr">
        <is>
          <t>Кетчуп</t>
        </is>
      </c>
      <c r="F49" s="3" t="inlineStr">
        <is>
          <t>30г</t>
        </is>
      </c>
      <c r="G49" s="3" t="n">
        <v>50</v>
      </c>
      <c r="H49" s="5" t="n"/>
      <c r="I49" s="19" t="n"/>
      <c r="J49" s="18" t="n"/>
      <c r="K49" s="20" t="n"/>
      <c r="L49" s="18" t="n"/>
    </row>
    <row r="50" ht="15.5" customHeight="1" s="78">
      <c r="A50" s="6" t="inlineStr">
        <is>
          <t>Пельмени Патриот</t>
        </is>
      </c>
      <c r="B50" s="3" t="inlineStr">
        <is>
          <t>240г</t>
        </is>
      </c>
      <c r="C50" s="3" t="n">
        <v>260</v>
      </c>
      <c r="D50" s="11" t="n"/>
      <c r="E50" s="6" t="inlineStr">
        <is>
          <t>Майонез</t>
        </is>
      </c>
      <c r="F50" s="3" t="inlineStr">
        <is>
          <t>30г</t>
        </is>
      </c>
      <c r="G50" s="3" t="n">
        <v>50</v>
      </c>
      <c r="H50" s="1" t="n"/>
      <c r="I50" s="19" t="n"/>
      <c r="J50" s="18" t="n"/>
      <c r="K50" s="20" t="n"/>
      <c r="L50" s="18" t="n"/>
    </row>
    <row r="51" ht="15.5" customHeight="1" s="78">
      <c r="A51" s="6" t="inlineStr">
        <is>
          <t>Пельмени с говядиной</t>
        </is>
      </c>
      <c r="B51" s="3" t="inlineStr">
        <is>
          <t>240г</t>
        </is>
      </c>
      <c r="C51" s="3" t="n">
        <v>295</v>
      </c>
      <c r="D51" s="11" t="n"/>
      <c r="E51" s="6" t="inlineStr">
        <is>
          <t>Подливка к горячему и гарнирам</t>
        </is>
      </c>
      <c r="F51" s="3" t="inlineStr">
        <is>
          <t>30г</t>
        </is>
      </c>
      <c r="G51" s="3" t="n">
        <v>20</v>
      </c>
      <c r="H51" s="1" t="n"/>
      <c r="I51" s="19" t="n"/>
      <c r="J51" s="18" t="n"/>
      <c r="K51" s="20" t="n"/>
      <c r="L51" s="18" t="n"/>
    </row>
    <row r="52" ht="15.5" customHeight="1" s="78">
      <c r="A52" s="6" t="inlineStr">
        <is>
          <t>Пельмени с индейкой</t>
        </is>
      </c>
      <c r="B52" s="3" t="inlineStr">
        <is>
          <t>240г</t>
        </is>
      </c>
      <c r="C52" s="3" t="n">
        <v>270</v>
      </c>
      <c r="D52" s="11" t="n"/>
      <c r="E52" s="6" t="inlineStr">
        <is>
          <t>Сметана</t>
        </is>
      </c>
      <c r="F52" s="3" t="inlineStr">
        <is>
          <t>50г</t>
        </is>
      </c>
      <c r="G52" s="3" t="n">
        <v>50</v>
      </c>
      <c r="H52" s="1" t="n"/>
      <c r="I52" s="19" t="n"/>
      <c r="J52" s="18" t="n"/>
      <c r="K52" s="20" t="n"/>
      <c r="L52" s="18" t="n"/>
    </row>
    <row r="53" ht="15.5" customHeight="1" s="78">
      <c r="A53" s="6" t="inlineStr">
        <is>
          <t>Пельмени с курицей</t>
        </is>
      </c>
      <c r="B53" s="3" t="inlineStr">
        <is>
          <t>240г</t>
        </is>
      </c>
      <c r="C53" s="3" t="n">
        <v>255</v>
      </c>
      <c r="D53" s="11" t="n"/>
      <c r="E53" s="6" t="inlineStr">
        <is>
          <t>Соус от Николаевича</t>
        </is>
      </c>
      <c r="F53" s="3" t="inlineStr">
        <is>
          <t>50г</t>
        </is>
      </c>
      <c r="G53" s="3" t="n">
        <v>50</v>
      </c>
      <c r="H53" s="1" t="n"/>
      <c r="I53" s="19" t="n"/>
      <c r="J53" s="18" t="n"/>
      <c r="K53" s="20" t="n"/>
      <c r="L53" s="18" t="n"/>
    </row>
    <row r="54" ht="15.5" customHeight="1" s="78">
      <c r="A54" s="6" t="inlineStr">
        <is>
          <t>Пельмени с рыбой</t>
        </is>
      </c>
      <c r="B54" s="3" t="inlineStr">
        <is>
          <t>240г</t>
        </is>
      </c>
      <c r="C54" s="3" t="n">
        <v>295</v>
      </c>
      <c r="D54" s="11" t="n"/>
      <c r="E54" s="6" t="inlineStr">
        <is>
          <t>Хрен</t>
        </is>
      </c>
      <c r="F54" s="3" t="inlineStr">
        <is>
          <t>10г</t>
        </is>
      </c>
      <c r="G54" s="3" t="n">
        <v>20</v>
      </c>
      <c r="H54" s="1" t="n"/>
      <c r="I54" s="19" t="n"/>
      <c r="J54" s="18" t="n"/>
      <c r="K54" s="18" t="n"/>
      <c r="L54" s="18" t="n"/>
    </row>
    <row r="55" ht="18" customHeight="1" s="78">
      <c r="A55" s="14" t="inlineStr">
        <is>
          <t>ВАРЕНИКИ</t>
        </is>
      </c>
      <c r="B55" s="27" t="n"/>
      <c r="C55" s="26" t="n"/>
      <c r="D55" s="11" t="n"/>
      <c r="E55" s="6" t="n"/>
      <c r="F55" s="3" t="n"/>
      <c r="G55" s="3" t="n"/>
      <c r="H55" s="1" t="n"/>
      <c r="I55" s="19" t="n"/>
      <c r="J55" s="18" t="n"/>
      <c r="K55" s="18" t="n"/>
      <c r="L55" s="18" t="n"/>
    </row>
    <row r="56" ht="15.5" customHeight="1" s="78">
      <c r="A56" s="6" t="inlineStr">
        <is>
          <t>Вареники с вишней</t>
        </is>
      </c>
      <c r="B56" s="3" t="inlineStr">
        <is>
          <t>250г</t>
        </is>
      </c>
      <c r="C56" s="3" t="n">
        <v>250</v>
      </c>
      <c r="D56" s="11" t="n"/>
      <c r="E56" s="6" t="n"/>
      <c r="F56" s="3" t="n"/>
      <c r="G56" s="3" t="n"/>
      <c r="H56" s="1" t="n"/>
      <c r="I56" s="19" t="n"/>
      <c r="J56" s="18" t="n"/>
      <c r="K56" s="18" t="n"/>
      <c r="L56" s="18" t="n"/>
    </row>
    <row r="57" ht="15.5" customHeight="1" s="78">
      <c r="A57" s="6" t="inlineStr">
        <is>
          <t>Вареники с картофелем</t>
        </is>
      </c>
      <c r="B57" s="3" t="inlineStr">
        <is>
          <t>250г</t>
        </is>
      </c>
      <c r="C57" s="3" t="n">
        <v>180</v>
      </c>
      <c r="D57" s="11" t="n"/>
      <c r="E57" s="6" t="n"/>
      <c r="F57" s="3" t="n"/>
      <c r="G57" s="3" t="n"/>
      <c r="H57" s="1" t="n"/>
      <c r="I57" s="19" t="n"/>
      <c r="J57" s="18" t="n"/>
      <c r="K57" s="18" t="n"/>
      <c r="L57" s="18" t="n"/>
    </row>
    <row r="58" ht="15.5" customHeight="1" s="78">
      <c r="A58" s="6" t="inlineStr">
        <is>
          <t>Вареники с картофелем и гриб.</t>
        </is>
      </c>
      <c r="B58" s="3" t="inlineStr">
        <is>
          <t>250г</t>
        </is>
      </c>
      <c r="C58" s="3" t="n">
        <v>195</v>
      </c>
      <c r="D58" s="11" t="n"/>
      <c r="E58" s="6" t="n"/>
      <c r="F58" s="3" t="n"/>
      <c r="G58" s="3" t="n"/>
      <c r="H58" s="1" t="n"/>
      <c r="I58" s="19" t="n"/>
      <c r="J58" s="18" t="n"/>
      <c r="K58" s="18" t="n"/>
      <c r="L58" s="18" t="n"/>
    </row>
    <row r="59" ht="15.5" customHeight="1" s="78">
      <c r="A59" s="6" t="inlineStr">
        <is>
          <t>Вареники с сулугуни и адыгейс.</t>
        </is>
      </c>
      <c r="B59" s="3" t="inlineStr">
        <is>
          <t>250г</t>
        </is>
      </c>
      <c r="C59" s="3" t="n">
        <v>265</v>
      </c>
      <c r="D59" s="11" t="n"/>
      <c r="E59" s="6" t="n"/>
      <c r="F59" s="3" t="n"/>
      <c r="G59" s="3" t="n"/>
      <c r="H59" s="1" t="n"/>
      <c r="I59" s="19" t="n"/>
      <c r="J59" s="18" t="n"/>
      <c r="K59" s="18" t="n"/>
      <c r="L59" s="18" t="n"/>
    </row>
    <row r="60" ht="17" customHeight="1" s="78">
      <c r="A60" s="75" t="inlineStr">
        <is>
          <t>*ПРИ НАЛИЧИИ У ВАС АЛЛЕРГИИ, УТОЧНЯЙТЕ ИНФОРМАЦИЮ О ПОДРОБНОМ СОСТАВЕ БЛЮД В МЕНЮ С ВЫХОДОМ НА ДОСКЕ ПОТРЕБИТЕЛЯ.</t>
        </is>
      </c>
      <c r="B60" s="87" t="n"/>
      <c r="C60" s="87" t="n"/>
      <c r="D60" s="87" t="n"/>
      <c r="E60" s="87" t="n"/>
      <c r="F60" s="87" t="n"/>
      <c r="G60" s="87" t="n"/>
      <c r="H60" s="1" t="n"/>
      <c r="I60" s="19" t="n"/>
      <c r="J60" s="18" t="n"/>
      <c r="K60" s="18" t="n"/>
      <c r="L60" s="18" t="n"/>
    </row>
    <row r="61" ht="38" customHeight="1" s="78">
      <c r="A61" s="76" t="inlineStr">
        <is>
          <t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t>
        </is>
      </c>
      <c r="H61" s="1" t="n"/>
      <c r="I61" s="18" t="n"/>
      <c r="J61" s="18" t="n"/>
      <c r="K61" s="18" t="n"/>
      <c r="L61" s="18" t="n"/>
    </row>
    <row r="62" ht="42.5" customHeight="1" s="78">
      <c r="A62" s="28" t="n"/>
      <c r="B62" s="28" t="n"/>
      <c r="C62" s="28" t="n"/>
      <c r="D62" s="28" t="n"/>
      <c r="E62" s="76" t="n"/>
      <c r="F62" s="76" t="n"/>
      <c r="G62" s="76" t="n"/>
      <c r="H62" s="1" t="n"/>
      <c r="I62" s="18" t="n"/>
      <c r="J62" s="18" t="n"/>
      <c r="K62" s="18" t="n"/>
      <c r="L62" s="18" t="n"/>
    </row>
    <row r="63" ht="27" customHeight="1" s="78">
      <c r="A63" s="28" t="n"/>
      <c r="B63" s="28" t="n"/>
      <c r="C63" s="28" t="n"/>
      <c r="D63" s="28" t="n"/>
      <c r="E63" s="28" t="n"/>
      <c r="F63" s="28" t="n"/>
      <c r="G63" s="28" t="n"/>
      <c r="I63" s="18" t="n"/>
      <c r="J63" s="18" t="n"/>
      <c r="K63" s="18" t="n"/>
      <c r="L63" s="18" t="n"/>
    </row>
    <row r="64" ht="12.75" customHeight="1" s="78">
      <c r="A64" s="28" t="n"/>
      <c r="B64" s="28" t="n"/>
      <c r="C64" s="28" t="n"/>
      <c r="D64" s="28" t="n"/>
      <c r="E64" s="28" t="n"/>
      <c r="F64" s="28" t="n"/>
      <c r="G64" s="28" t="n"/>
      <c r="I64" s="18" t="n"/>
      <c r="J64" s="18" t="n"/>
      <c r="K64" s="18" t="n"/>
      <c r="L64" s="18" t="n"/>
    </row>
    <row r="65" ht="23.25" customHeight="1" s="78">
      <c r="I65" s="18" t="n"/>
      <c r="J65" s="18" t="n"/>
      <c r="K65" s="18" t="n"/>
      <c r="L65" s="18" t="n"/>
    </row>
    <row r="66" ht="15.5" customHeight="1" s="78">
      <c r="I66" s="18" t="n"/>
      <c r="J66" s="18" t="n"/>
      <c r="K66" s="18" t="n"/>
      <c r="L66" s="18" t="n"/>
    </row>
    <row r="67" ht="4.5" customHeight="1" s="78"/>
  </sheetData>
  <mergeCells count="7">
    <mergeCell ref="E2:G2"/>
    <mergeCell ref="B2:C2"/>
    <mergeCell ref="A61:G61"/>
    <mergeCell ref="B3:C3"/>
    <mergeCell ref="E3:G3"/>
    <mergeCell ref="A60:G60"/>
    <mergeCell ref="A5:G5"/>
  </mergeCells>
  <pageMargins left="0.03937007874015748" right="0.03937007874015748" top="0" bottom="0" header="0.1181102362204725" footer="0.1181102362204725"/>
  <pageSetup orientation="portrait" paperSize="9" scale="75" firstPageNumber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topLeftCell="A22" zoomScaleNormal="100" workbookViewId="0">
      <selection activeCell="B3" sqref="B3:C3"/>
    </sheetView>
  </sheetViews>
  <sheetFormatPr baseColWidth="8" defaultRowHeight="12.5"/>
  <cols>
    <col width="16.54296875" customWidth="1" style="78" min="1" max="1"/>
    <col width="71.81640625" customWidth="1" style="78" min="2" max="2"/>
    <col width="22.81640625" customWidth="1" style="78" min="3" max="3"/>
  </cols>
  <sheetData>
    <row r="1" ht="21" customHeight="1" s="78">
      <c r="A1" s="4" t="n"/>
      <c r="B1" s="31">
        <f>Касса!B2</f>
        <v/>
      </c>
      <c r="C1" s="32" t="n"/>
    </row>
    <row r="2" ht="21" customHeight="1" s="78">
      <c r="A2" s="4" t="n"/>
      <c r="B2" s="31">
        <f>Касса!B3</f>
        <v/>
      </c>
      <c r="C2" s="84" t="inlineStr">
        <is>
          <t xml:space="preserve">Утверждаю </t>
        </is>
      </c>
    </row>
    <row r="3" ht="21" customHeight="1" s="78">
      <c r="A3" s="4" t="n"/>
      <c r="B3" s="84" t="inlineStr">
        <is>
          <t xml:space="preserve">Директор ООО "Патриот-Москва" </t>
        </is>
      </c>
    </row>
    <row r="4" ht="21" customHeight="1" s="78">
      <c r="A4" s="34" t="inlineStr">
        <is>
          <t xml:space="preserve">                                                                       МЕНЮ СТОЛОВОЙ "ПАТРИОТ"</t>
        </is>
      </c>
      <c r="B4" s="35" t="n"/>
      <c r="C4" s="84" t="inlineStr">
        <is>
          <t>_________________Попова О.И.</t>
        </is>
      </c>
    </row>
    <row r="5" ht="21" customHeight="1" s="78">
      <c r="A5" s="34" t="inlineStr">
        <is>
          <t xml:space="preserve">                                                         г.Москва,Овчинниковская наб.,д.18/1,стр.2</t>
        </is>
      </c>
      <c r="B5" s="34" t="n"/>
      <c r="C5" s="81" t="n"/>
    </row>
    <row r="6" ht="21" customHeight="1" s="78">
      <c r="A6" s="36">
        <f>Касса!B6</f>
        <v/>
      </c>
      <c r="B6" s="37" t="inlineStr">
        <is>
          <t>ЗАВТРАК</t>
        </is>
      </c>
      <c r="C6" s="36">
        <f>Касса!C6</f>
        <v/>
      </c>
    </row>
    <row r="7" ht="35.15" customHeight="1" s="78">
      <c r="A7" s="38">
        <f>Касса!B7</f>
        <v/>
      </c>
      <c r="B7" s="39">
        <f>Касса!A7</f>
        <v/>
      </c>
      <c r="C7" s="40">
        <f>Касса!C7</f>
        <v/>
      </c>
    </row>
    <row r="8" ht="35.15" customHeight="1" s="78">
      <c r="A8" s="38">
        <f>Касса!B8</f>
        <v/>
      </c>
      <c r="B8" s="39">
        <f>Касса!A8</f>
        <v/>
      </c>
      <c r="C8" s="40">
        <f>Касса!C8</f>
        <v/>
      </c>
    </row>
    <row r="9" ht="35.15" customHeight="1" s="78">
      <c r="A9" s="38">
        <f>Касса!B9</f>
        <v/>
      </c>
      <c r="B9" s="39">
        <f>Касса!A9</f>
        <v/>
      </c>
      <c r="C9" s="40">
        <f>Касса!C9</f>
        <v/>
      </c>
    </row>
    <row r="10" ht="35.15" customHeight="1" s="78">
      <c r="A10" s="38">
        <f>Касса!B10</f>
        <v/>
      </c>
      <c r="B10" s="39">
        <f>Касса!A10</f>
        <v/>
      </c>
      <c r="C10" s="40">
        <f>Касса!C10</f>
        <v/>
      </c>
    </row>
    <row r="11" ht="35.15" customHeight="1" s="78">
      <c r="A11" s="38">
        <f>Касса!B11</f>
        <v/>
      </c>
      <c r="B11" s="39">
        <f>Касса!A11</f>
        <v/>
      </c>
      <c r="C11" s="40">
        <f>Касса!C11</f>
        <v/>
      </c>
    </row>
    <row r="12" ht="35.15" customHeight="1" s="78">
      <c r="A12" s="38">
        <f>Касса!B12</f>
        <v/>
      </c>
      <c r="B12" s="39">
        <f>Касса!A12</f>
        <v/>
      </c>
      <c r="C12" s="40">
        <f>Касса!C12</f>
        <v/>
      </c>
    </row>
    <row r="13" ht="35.15" customHeight="1" s="78">
      <c r="A13" s="38">
        <f>Касса!B13</f>
        <v/>
      </c>
      <c r="B13" s="39">
        <f>Касса!A13</f>
        <v/>
      </c>
      <c r="C13" s="40">
        <f>Касса!C13</f>
        <v/>
      </c>
    </row>
    <row r="14" ht="35.15" customHeight="1" s="78">
      <c r="A14" s="38">
        <f>Касса!B14</f>
        <v/>
      </c>
      <c r="B14" s="39">
        <f>Касса!A14</f>
        <v/>
      </c>
      <c r="C14" s="40">
        <f>Касса!C14</f>
        <v/>
      </c>
    </row>
    <row r="15" ht="35.15" customHeight="1" s="78">
      <c r="A15" s="38">
        <f>Касса!B15</f>
        <v/>
      </c>
      <c r="B15" s="39">
        <f>Касса!A15</f>
        <v/>
      </c>
      <c r="C15" s="40">
        <f>Касса!C15</f>
        <v/>
      </c>
    </row>
    <row r="16" ht="35.15" customHeight="1" s="78">
      <c r="A16" s="38">
        <f>Касса!B16</f>
        <v/>
      </c>
      <c r="B16" s="39">
        <f>Касса!A16</f>
        <v/>
      </c>
      <c r="C16" s="40">
        <f>Касса!C16</f>
        <v/>
      </c>
    </row>
    <row r="17" ht="35.15" customHeight="1" s="78">
      <c r="A17" s="38">
        <f>Касса!B17</f>
        <v/>
      </c>
      <c r="B17" s="39">
        <f>Касса!A17</f>
        <v/>
      </c>
      <c r="C17" s="40">
        <f>Касса!C17</f>
        <v/>
      </c>
    </row>
    <row r="18" ht="35.15" customHeight="1" s="78">
      <c r="A18" s="38">
        <f>Касса!B18</f>
        <v/>
      </c>
      <c r="B18" s="39">
        <f>Касса!A18</f>
        <v/>
      </c>
      <c r="C18" s="40">
        <f>Касса!C18</f>
        <v/>
      </c>
    </row>
    <row r="19" ht="35.15" customHeight="1" s="78">
      <c r="A19" s="38">
        <f>Касса!B19</f>
        <v/>
      </c>
      <c r="B19" s="39">
        <f>Касса!A19</f>
        <v/>
      </c>
      <c r="C19" s="40">
        <f>Касса!C19</f>
        <v/>
      </c>
    </row>
    <row r="20" ht="35.15" customHeight="1" s="78">
      <c r="A20" s="38">
        <f>Касса!B20</f>
        <v/>
      </c>
      <c r="B20" s="39">
        <f>Касса!A20</f>
        <v/>
      </c>
      <c r="C20" s="40">
        <f>Касса!C20</f>
        <v/>
      </c>
    </row>
    <row r="21" ht="35.15" customHeight="1" s="78">
      <c r="A21" s="38">
        <f>Касса!B21</f>
        <v/>
      </c>
      <c r="B21" s="39">
        <f>Касса!A21</f>
        <v/>
      </c>
      <c r="C21" s="40">
        <f>Касса!C21</f>
        <v/>
      </c>
    </row>
    <row r="22" ht="35.15" customHeight="1" s="78">
      <c r="A22" s="38">
        <f>Касса!B22</f>
        <v/>
      </c>
      <c r="B22" s="39">
        <f>Касса!A22</f>
        <v/>
      </c>
      <c r="C22" s="40">
        <f>Касса!C22</f>
        <v/>
      </c>
    </row>
    <row r="23" ht="35.15" customHeight="1" s="78">
      <c r="A23" s="38">
        <f>Касса!B23</f>
        <v/>
      </c>
      <c r="B23" s="39">
        <f>Касса!A23</f>
        <v/>
      </c>
      <c r="C23" s="40">
        <f>Касса!C23</f>
        <v/>
      </c>
    </row>
    <row r="24" ht="35.15" customHeight="1" s="78">
      <c r="A24" s="38">
        <f>Касса!B24</f>
        <v/>
      </c>
      <c r="B24" s="39">
        <f>Касса!A24</f>
        <v/>
      </c>
      <c r="C24" s="40">
        <f>Касса!C24</f>
        <v/>
      </c>
    </row>
    <row r="25" ht="35.15" customHeight="1" s="78">
      <c r="A25" s="38">
        <f>Касса!B25</f>
        <v/>
      </c>
      <c r="B25" s="39">
        <f>Касса!A25</f>
        <v/>
      </c>
      <c r="C25" s="40">
        <f>Касса!C25</f>
        <v/>
      </c>
    </row>
    <row r="26" ht="35.15" customHeight="1" s="78">
      <c r="A26" s="38">
        <f>Касса!B26</f>
        <v/>
      </c>
      <c r="B26" s="39">
        <f>Касса!A26</f>
        <v/>
      </c>
      <c r="C26" s="40">
        <f>Касса!C26</f>
        <v/>
      </c>
    </row>
    <row r="27" ht="35.15" customHeight="1" s="78">
      <c r="A27" s="38">
        <f>Касса!B27</f>
        <v/>
      </c>
      <c r="B27" s="39">
        <f>Касса!A27</f>
        <v/>
      </c>
      <c r="C27" s="40">
        <f>Касса!C27</f>
        <v/>
      </c>
    </row>
    <row r="28" ht="35.15" customHeight="1" s="78">
      <c r="A28" s="38">
        <f>Касса!B28</f>
        <v/>
      </c>
      <c r="B28" s="39">
        <f>Касса!A28</f>
        <v/>
      </c>
      <c r="C28" s="40">
        <f>Касса!C28</f>
        <v/>
      </c>
    </row>
    <row r="29" ht="35.15" customHeight="1" s="78">
      <c r="A29" s="38">
        <f>Касса!B29</f>
        <v/>
      </c>
      <c r="B29" s="39">
        <f>Касса!A29</f>
        <v/>
      </c>
      <c r="C29" s="40">
        <f>Касса!C29</f>
        <v/>
      </c>
    </row>
    <row r="30" ht="35.15" customHeight="1" s="78">
      <c r="A30" s="38" t="n"/>
      <c r="B30" s="39" t="n"/>
      <c r="C30" s="40" t="n"/>
    </row>
    <row r="31" ht="35.15" customHeight="1" s="78">
      <c r="A31" s="38" t="n"/>
      <c r="B31" s="39" t="n"/>
      <c r="C31" s="40" t="n"/>
    </row>
    <row r="32" ht="15.75" customHeight="1" s="78">
      <c r="A32" s="82">
        <f>Касса!A60</f>
        <v/>
      </c>
    </row>
    <row r="33" ht="12.75" customHeight="1" s="78">
      <c r="A33" s="83">
        <f>Касса!A61</f>
        <v/>
      </c>
    </row>
    <row r="34" ht="7.5" customHeight="1" s="78"/>
    <row r="35" ht="16.5" customHeight="1" s="78"/>
    <row r="36" ht="21" customHeight="1" s="78"/>
  </sheetData>
  <mergeCells count="3">
    <mergeCell ref="A32:C32"/>
    <mergeCell ref="A33:C35"/>
    <mergeCell ref="B3:C3"/>
  </mergeCells>
  <pageMargins left="0.7086614173228347" right="0.7086614173228347" top="0" bottom="0" header="0.3149606299212598" footer="0.3149606299212598"/>
  <pageSetup orientation="portrait" paperSize="9" scale="8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tabSelected="1" topLeftCell="A23" zoomScaleNormal="100" zoomScaleSheetLayoutView="100" workbookViewId="0">
      <selection activeCell="E34" sqref="E34"/>
    </sheetView>
  </sheetViews>
  <sheetFormatPr baseColWidth="8" defaultRowHeight="21" customHeight="1"/>
  <cols>
    <col width="23.26953125" customWidth="1" style="78" min="1" max="1"/>
    <col width="88" customWidth="1" style="78" min="2" max="2"/>
    <col width="35.1796875" customWidth="1" style="78" min="3" max="3"/>
  </cols>
  <sheetData>
    <row r="1" ht="21" customHeight="1" s="78">
      <c r="A1" s="41" t="n"/>
      <c r="B1" s="31">
        <f>Касса!B2</f>
        <v/>
      </c>
      <c r="C1" s="42" t="n"/>
    </row>
    <row r="2" ht="21" customHeight="1" s="78">
      <c r="A2" s="41" t="n"/>
      <c r="B2" s="31">
        <f>Касса!B3</f>
        <v/>
      </c>
      <c r="C2" s="72" t="inlineStr">
        <is>
          <t xml:space="preserve">Утверждаю </t>
        </is>
      </c>
    </row>
    <row r="3" ht="21" customHeight="1" s="78">
      <c r="A3" s="4" t="n"/>
      <c r="B3" s="4" t="n"/>
      <c r="C3" s="72" t="inlineStr">
        <is>
          <t xml:space="preserve">Директор ООО "Патриот-Москва" </t>
        </is>
      </c>
    </row>
    <row r="4" ht="21" customHeight="1" s="78">
      <c r="A4" s="34" t="inlineStr">
        <is>
          <t xml:space="preserve">                                                                     МЕНЮ СТОЛОВОЙ "ПАТРИОТ"</t>
        </is>
      </c>
      <c r="B4" s="31" t="n"/>
      <c r="C4" s="72" t="inlineStr">
        <is>
          <t>_________________Попова О.И.</t>
        </is>
      </c>
    </row>
    <row r="5" ht="21" customHeight="1" s="78">
      <c r="A5" s="34" t="inlineStr">
        <is>
          <t xml:space="preserve">                                                           г.Москва,Овчинниковская наб.,д.18/1,стр.2</t>
        </is>
      </c>
      <c r="B5" s="41" t="n"/>
      <c r="C5" s="81" t="n"/>
    </row>
    <row r="6" ht="21" customHeight="1" s="78">
      <c r="A6" s="36" t="inlineStr">
        <is>
          <t>Вес/ед.изм.</t>
        </is>
      </c>
      <c r="B6" s="43" t="inlineStr">
        <is>
          <t>САЛАТЫ и ХОЛОДНЫЕ ЗАКУСКИ</t>
        </is>
      </c>
      <c r="C6" s="44" t="inlineStr">
        <is>
          <t>Цена, руб.</t>
        </is>
      </c>
    </row>
    <row r="7" ht="21" customHeight="1" s="78">
      <c r="A7" s="38">
        <f>Касса!B31</f>
        <v/>
      </c>
      <c r="B7" s="45">
        <f>Касса!A31</f>
        <v/>
      </c>
      <c r="C7" s="46">
        <f>Касса!C31</f>
        <v/>
      </c>
    </row>
    <row r="8" ht="21" customHeight="1" s="78">
      <c r="A8" s="38">
        <f>Касса!B32</f>
        <v/>
      </c>
      <c r="B8" s="45">
        <f>Касса!A32</f>
        <v/>
      </c>
      <c r="C8" s="46">
        <f>Касса!C32</f>
        <v/>
      </c>
    </row>
    <row r="9" ht="21" customHeight="1" s="78">
      <c r="A9" s="38">
        <f>Касса!B33</f>
        <v/>
      </c>
      <c r="B9" s="45">
        <f>Касса!A33</f>
        <v/>
      </c>
      <c r="C9" s="46">
        <f>Касса!C33</f>
        <v/>
      </c>
    </row>
    <row r="10" ht="21" customHeight="1" s="78">
      <c r="A10" s="38">
        <f>Касса!B34</f>
        <v/>
      </c>
      <c r="B10" s="45">
        <f>Касса!A34</f>
        <v/>
      </c>
      <c r="C10" s="46">
        <f>Касса!C34</f>
        <v/>
      </c>
    </row>
    <row r="11" ht="21" customHeight="1" s="78">
      <c r="A11" s="38">
        <f>Касса!B35</f>
        <v/>
      </c>
      <c r="B11" s="45">
        <f>Касса!A35</f>
        <v/>
      </c>
      <c r="C11" s="46">
        <f>Касса!C35</f>
        <v/>
      </c>
    </row>
    <row r="12" ht="21" customHeight="1" s="78">
      <c r="A12" s="38">
        <f>Касса!B36</f>
        <v/>
      </c>
      <c r="B12" s="45">
        <f>Касса!A36</f>
        <v/>
      </c>
      <c r="C12" s="46">
        <f>Касса!C36</f>
        <v/>
      </c>
    </row>
    <row r="13" ht="21" customHeight="1" s="78">
      <c r="A13" s="38">
        <f>Касса!B37</f>
        <v/>
      </c>
      <c r="B13" s="45">
        <f>Касса!A37</f>
        <v/>
      </c>
      <c r="C13" s="46">
        <f>Касса!C37</f>
        <v/>
      </c>
    </row>
    <row r="14" ht="21" customHeight="1" s="78">
      <c r="A14" s="38">
        <f>Касса!B38</f>
        <v/>
      </c>
      <c r="B14" s="45">
        <f>Касса!A38</f>
        <v/>
      </c>
      <c r="C14" s="46">
        <f>Касса!C38</f>
        <v/>
      </c>
    </row>
    <row r="15" ht="21" customHeight="1" s="78">
      <c r="A15" s="38">
        <f>Касса!B39</f>
        <v/>
      </c>
      <c r="B15" s="45">
        <f>Касса!A39</f>
        <v/>
      </c>
      <c r="C15" s="46">
        <f>Касса!C39</f>
        <v/>
      </c>
    </row>
    <row r="16" ht="21" customHeight="1" s="78">
      <c r="A16" s="38">
        <f>Касса!B40</f>
        <v/>
      </c>
      <c r="B16" s="45">
        <f>Касса!A40</f>
        <v/>
      </c>
      <c r="C16" s="46">
        <f>Касса!C40</f>
        <v/>
      </c>
    </row>
    <row r="17" ht="21" customHeight="1" s="78">
      <c r="A17" s="38">
        <f>Касса!B41</f>
        <v/>
      </c>
      <c r="B17" s="45">
        <f>Касса!A41</f>
        <v/>
      </c>
      <c r="C17" s="46">
        <f>Касса!C41</f>
        <v/>
      </c>
    </row>
    <row r="18" ht="21" customHeight="1" s="78">
      <c r="A18" s="38">
        <f>Касса!B42</f>
        <v/>
      </c>
      <c r="B18" s="45">
        <f>Касса!A42</f>
        <v/>
      </c>
      <c r="C18" s="46">
        <f>Касса!C42</f>
        <v/>
      </c>
    </row>
    <row r="19" ht="21" customHeight="1" s="78">
      <c r="A19" s="36" t="n"/>
      <c r="B19" s="43" t="inlineStr">
        <is>
          <t>ПЕРВЫЕ БЛЮДА</t>
        </is>
      </c>
      <c r="C19" s="47" t="n"/>
    </row>
    <row r="20" ht="21" customHeight="1" s="78">
      <c r="A20" s="38">
        <f>Касса!F7</f>
        <v/>
      </c>
      <c r="B20" s="45">
        <f>Касса!E7</f>
        <v/>
      </c>
      <c r="C20" s="46">
        <f>Касса!G7</f>
        <v/>
      </c>
    </row>
    <row r="21" ht="21" customHeight="1" s="78">
      <c r="A21" s="38">
        <f>Касса!F8</f>
        <v/>
      </c>
      <c r="B21" s="45">
        <f>Касса!E8</f>
        <v/>
      </c>
      <c r="C21" s="46">
        <f>Касса!G8</f>
        <v/>
      </c>
    </row>
    <row r="22" ht="21" customHeight="1" s="78">
      <c r="A22" s="38">
        <f>Касса!F9</f>
        <v/>
      </c>
      <c r="B22" s="45">
        <f>Касса!E9</f>
        <v/>
      </c>
      <c r="C22" s="46">
        <f>Касса!G9</f>
        <v/>
      </c>
    </row>
    <row r="23" ht="21" customHeight="1" s="78">
      <c r="A23" s="38">
        <f>Касса!F10</f>
        <v/>
      </c>
      <c r="B23" s="45">
        <f>Касса!E10</f>
        <v/>
      </c>
      <c r="C23" s="46">
        <f>Касса!G10</f>
        <v/>
      </c>
    </row>
    <row r="24" ht="21" customHeight="1" s="78">
      <c r="A24" s="48" t="n"/>
      <c r="B24" s="43" t="inlineStr">
        <is>
          <t>БЛЮДА ИЗ МЯСА</t>
        </is>
      </c>
      <c r="C24" s="49" t="n"/>
    </row>
    <row r="25" ht="21" customHeight="1" s="78">
      <c r="A25" s="38">
        <f>Касса!F12</f>
        <v/>
      </c>
      <c r="B25" s="45">
        <f>Касса!E12</f>
        <v/>
      </c>
      <c r="C25" s="46">
        <f>Касса!G12</f>
        <v/>
      </c>
    </row>
    <row r="26" ht="21" customHeight="1" s="78">
      <c r="A26" s="38">
        <f>Касса!F13</f>
        <v/>
      </c>
      <c r="B26" s="45">
        <f>Касса!E13</f>
        <v/>
      </c>
      <c r="C26" s="46">
        <f>Касса!G13</f>
        <v/>
      </c>
    </row>
    <row r="27" ht="21" customHeight="1" s="78">
      <c r="A27" s="38">
        <f>Касса!F14</f>
        <v/>
      </c>
      <c r="B27" s="45">
        <f>Касса!E14</f>
        <v/>
      </c>
      <c r="C27" s="46">
        <f>Касса!G14</f>
        <v/>
      </c>
    </row>
    <row r="28" ht="21" customHeight="1" s="78">
      <c r="A28" s="38">
        <f>Касса!F15</f>
        <v/>
      </c>
      <c r="B28" s="45">
        <f>Касса!E15</f>
        <v/>
      </c>
      <c r="C28" s="46">
        <f>Касса!G15</f>
        <v/>
      </c>
    </row>
    <row r="29" ht="21" customHeight="1" s="78">
      <c r="A29" s="38">
        <f>Касса!F16</f>
        <v/>
      </c>
      <c r="B29" s="45">
        <f>Касса!E16</f>
        <v/>
      </c>
      <c r="C29" s="46">
        <f>Касса!G16</f>
        <v/>
      </c>
    </row>
    <row r="30" ht="21" customHeight="1" s="78">
      <c r="A30" s="38">
        <f>Касса!F17</f>
        <v/>
      </c>
      <c r="B30" s="45">
        <f>Касса!E17</f>
        <v/>
      </c>
      <c r="C30" s="46">
        <f>Касса!G17</f>
        <v/>
      </c>
    </row>
    <row r="31" ht="21" customHeight="1" s="78">
      <c r="A31" s="38" t="n"/>
      <c r="B31" s="43" t="inlineStr">
        <is>
          <t>БЛЮДА ИЗ ПТИЦЫ</t>
        </is>
      </c>
      <c r="C31" s="50" t="n"/>
    </row>
    <row r="32" ht="21" customHeight="1" s="78">
      <c r="A32" s="38">
        <f>Касса!F19</f>
        <v/>
      </c>
      <c r="B32" s="45">
        <f>Касса!E19</f>
        <v/>
      </c>
      <c r="C32" s="46">
        <f>Касса!G19</f>
        <v/>
      </c>
    </row>
    <row r="33" ht="21" customHeight="1" s="78">
      <c r="A33" s="38">
        <f>Касса!F20</f>
        <v/>
      </c>
      <c r="B33" s="45">
        <f>Касса!E20</f>
        <v/>
      </c>
      <c r="C33" s="46">
        <f>Касса!G20</f>
        <v/>
      </c>
    </row>
    <row r="34" ht="21" customHeight="1" s="78">
      <c r="A34" s="38">
        <f>Касса!F21</f>
        <v/>
      </c>
      <c r="B34" s="45">
        <f>Касса!E21</f>
        <v/>
      </c>
      <c r="C34" s="46">
        <f>Касса!G21</f>
        <v/>
      </c>
    </row>
    <row r="35" ht="21" customHeight="1" s="78">
      <c r="A35" s="38">
        <f>Касса!F22</f>
        <v/>
      </c>
      <c r="B35" s="45">
        <f>Касса!E22</f>
        <v/>
      </c>
      <c r="C35" s="46">
        <f>Касса!G22</f>
        <v/>
      </c>
    </row>
    <row r="36" ht="21" customHeight="1" s="78">
      <c r="A36" s="38">
        <f>Касса!F23</f>
        <v/>
      </c>
      <c r="B36" s="45">
        <f>Касса!E23</f>
        <v/>
      </c>
      <c r="C36" s="46">
        <f>Касса!G23</f>
        <v/>
      </c>
    </row>
    <row r="37" ht="21" customHeight="1" s="78">
      <c r="A37" s="38">
        <f>Касса!F24</f>
        <v/>
      </c>
      <c r="B37" s="45">
        <f>Касса!E24</f>
        <v/>
      </c>
      <c r="C37" s="46">
        <f>Касса!G24</f>
        <v/>
      </c>
    </row>
    <row r="38" ht="21" customHeight="1" s="78">
      <c r="A38" s="38" t="n"/>
      <c r="B38" s="43" t="inlineStr">
        <is>
          <t>БЛЮДА ИЗ РЫБЫ</t>
        </is>
      </c>
      <c r="C38" s="49" t="n"/>
    </row>
    <row r="39" ht="21" customHeight="1" s="78">
      <c r="A39" s="38">
        <f>Касса!F26</f>
        <v/>
      </c>
      <c r="B39" s="45">
        <f>Касса!E26</f>
        <v/>
      </c>
      <c r="C39" s="46">
        <f>Касса!G26</f>
        <v/>
      </c>
    </row>
    <row r="40" ht="21" customHeight="1" s="78">
      <c r="A40" s="38">
        <f>Касса!F27</f>
        <v/>
      </c>
      <c r="B40" s="45">
        <f>Касса!E27</f>
        <v/>
      </c>
      <c r="C40" s="46">
        <f>Касса!G27</f>
        <v/>
      </c>
    </row>
    <row r="41" ht="21" customHeight="1" s="78">
      <c r="A41" s="38">
        <f>Касса!F28</f>
        <v/>
      </c>
      <c r="B41" s="45">
        <f>Касса!E28</f>
        <v/>
      </c>
      <c r="C41" s="46">
        <f>Касса!G28</f>
        <v/>
      </c>
    </row>
    <row r="42" ht="21" customHeight="1" s="78">
      <c r="A42" s="38">
        <f>Касса!F29</f>
        <v/>
      </c>
      <c r="B42" s="45">
        <f>Касса!E29</f>
        <v/>
      </c>
      <c r="C42" s="46">
        <f>Касса!G29</f>
        <v/>
      </c>
    </row>
    <row r="43" ht="21" customHeight="1" s="78">
      <c r="A43" s="51" t="n"/>
      <c r="B43" s="43" t="inlineStr">
        <is>
          <t>ГАРНИРЫ</t>
        </is>
      </c>
      <c r="C43" s="50" t="n"/>
    </row>
    <row r="44" ht="21" customHeight="1" s="78">
      <c r="A44" s="38">
        <f>Касса!F31</f>
        <v/>
      </c>
      <c r="B44" s="45">
        <f>Касса!E31</f>
        <v/>
      </c>
      <c r="C44" s="46">
        <f>Касса!G31</f>
        <v/>
      </c>
    </row>
    <row r="45" ht="21" customHeight="1" s="78">
      <c r="A45" s="38">
        <f>Касса!F32</f>
        <v/>
      </c>
      <c r="B45" s="45">
        <f>Касса!E32</f>
        <v/>
      </c>
      <c r="C45" s="46">
        <f>Касса!G32</f>
        <v/>
      </c>
    </row>
    <row r="46" ht="21" customHeight="1" s="78">
      <c r="A46" s="38">
        <f>Касса!F33</f>
        <v/>
      </c>
      <c r="B46" s="45">
        <f>Касса!E33</f>
        <v/>
      </c>
      <c r="C46" s="46">
        <f>Касса!G33</f>
        <v/>
      </c>
    </row>
    <row r="47" ht="21" customHeight="1" s="78">
      <c r="A47" s="38">
        <f>Касса!F34</f>
        <v/>
      </c>
      <c r="B47" s="45">
        <f>Касса!E34</f>
        <v/>
      </c>
      <c r="C47" s="46">
        <f>Касса!G34</f>
        <v/>
      </c>
    </row>
    <row r="48" ht="21" customHeight="1" s="78">
      <c r="A48" s="38">
        <f>Касса!F35</f>
        <v/>
      </c>
      <c r="B48" s="45">
        <f>Касса!E35</f>
        <v/>
      </c>
      <c r="C48" s="46">
        <f>Касса!G35</f>
        <v/>
      </c>
    </row>
    <row r="49" ht="21" customHeight="1" s="78">
      <c r="A49" s="38">
        <f>Касса!F36</f>
        <v/>
      </c>
      <c r="B49" s="45">
        <f>Касса!E36</f>
        <v/>
      </c>
      <c r="C49" s="46">
        <f>Касса!G36</f>
        <v/>
      </c>
    </row>
    <row r="50" ht="21" customHeight="1" s="78">
      <c r="A50" s="38">
        <f>Касса!F37</f>
        <v/>
      </c>
      <c r="B50" s="45">
        <f>Касса!E37</f>
        <v/>
      </c>
      <c r="C50" s="46">
        <f>Касса!G37</f>
        <v/>
      </c>
    </row>
    <row r="51" ht="21" customHeight="1" s="78">
      <c r="A51" s="38">
        <f>Касса!F38</f>
        <v/>
      </c>
      <c r="B51" s="45">
        <f>Касса!E38</f>
        <v/>
      </c>
      <c r="C51" s="46">
        <f>Касса!G38</f>
        <v/>
      </c>
    </row>
    <row r="52" ht="21" customHeight="1" s="78">
      <c r="A52" s="48" t="n"/>
      <c r="B52" s="43" t="inlineStr">
        <is>
          <t>НАПИТКИ</t>
        </is>
      </c>
      <c r="C52" s="50" t="n"/>
    </row>
    <row r="53" ht="21" customHeight="1" s="78">
      <c r="A53" s="38" t="inlineStr">
        <is>
          <t>200/300</t>
        </is>
      </c>
      <c r="B53" s="45" t="inlineStr">
        <is>
          <t>Напиток охл.в стакане/в бутылке</t>
        </is>
      </c>
      <c r="C53" s="46" t="inlineStr">
        <is>
          <t>60/80</t>
        </is>
      </c>
    </row>
    <row r="54" ht="21" customHeight="1" s="78">
      <c r="A54" s="38" t="inlineStr">
        <is>
          <t>225 мл</t>
        </is>
      </c>
      <c r="B54" s="45" t="inlineStr">
        <is>
          <t>Чай фруктовый в ассортименте</t>
        </is>
      </c>
      <c r="C54" s="46" t="n">
        <v>75</v>
      </c>
    </row>
    <row r="55" ht="15" customHeight="1" s="78">
      <c r="A55" s="82">
        <f>Касса!A60</f>
        <v/>
      </c>
    </row>
    <row r="56" ht="20.25" customHeight="1" s="78">
      <c r="A56" s="83">
        <f>Касса!A61</f>
        <v/>
      </c>
    </row>
    <row r="57" ht="0.75" customHeight="1" s="78"/>
    <row r="58" ht="15" customHeight="1" s="78"/>
  </sheetData>
  <mergeCells count="2">
    <mergeCell ref="A56:C58"/>
    <mergeCell ref="A55:C55"/>
  </mergeCells>
  <pageMargins left="0.03937007874015748" right="0.03937007874015748" top="0" bottom="0" header="0.1181102362204725" footer="0.1181102362204725"/>
  <pageSetup orientation="portrait" paperSize="9" scale="70" firstPageNumber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topLeftCell="A34" zoomScaleNormal="100" workbookViewId="0">
      <selection activeCell="J12" sqref="J12"/>
    </sheetView>
  </sheetViews>
  <sheetFormatPr baseColWidth="8" defaultRowHeight="12.5"/>
  <cols>
    <col width="41.7265625" customWidth="1" style="78" min="1" max="1"/>
    <col width="12.54296875" customWidth="1" style="78" min="2" max="2"/>
    <col width="11.1796875" customWidth="1" style="78" min="3" max="3"/>
    <col hidden="1" width="4.7265625" customWidth="1" style="78" min="4" max="4"/>
    <col width="47.7265625" customWidth="1" style="78" min="5" max="5"/>
    <col width="13.1796875" customWidth="1" style="78" min="6" max="6"/>
    <col width="9.453125" customWidth="1" style="78" min="7" max="7"/>
    <col width="6.54296875" customWidth="1" style="78" min="8" max="9"/>
    <col width="5.453125" customWidth="1" style="78" min="10" max="10"/>
  </cols>
  <sheetData>
    <row r="1" ht="13" customHeight="1" s="78">
      <c r="A1" s="1" t="n"/>
      <c r="B1" s="1" t="n"/>
      <c r="C1" s="1" t="n"/>
      <c r="D1" s="1" t="n"/>
      <c r="E1" s="1" t="n"/>
      <c r="F1" s="1" t="n"/>
      <c r="G1" s="1" t="n"/>
      <c r="H1" s="1" t="n"/>
    </row>
    <row r="2" ht="13" customHeight="1" s="78">
      <c r="A2" s="1" t="n"/>
      <c r="B2" s="79">
        <f>Касса!B2</f>
        <v/>
      </c>
      <c r="D2" s="1" t="n"/>
      <c r="E2" s="77" t="inlineStr">
        <is>
          <t xml:space="preserve">Утверждаю </t>
        </is>
      </c>
      <c r="H2" s="1" t="n"/>
    </row>
    <row r="3" ht="15.5" customHeight="1" s="78">
      <c r="A3" s="1" t="n"/>
      <c r="B3" s="80">
        <f>Касса!B3</f>
        <v/>
      </c>
      <c r="D3" s="1" t="n"/>
      <c r="E3" s="77" t="inlineStr">
        <is>
          <t>Директор  ООО «Патриот-Москва»</t>
        </is>
      </c>
      <c r="H3" s="1" t="n"/>
    </row>
    <row r="4" ht="13" customHeight="1" s="78">
      <c r="A4" s="1" t="n"/>
      <c r="B4" s="1" t="inlineStr">
        <is>
          <t>МЕНЮ СТОЛОВОЙ "ПАТРИОТ"</t>
        </is>
      </c>
      <c r="C4" s="1" t="n"/>
      <c r="D4" s="1" t="n"/>
      <c r="E4" s="1" t="n"/>
      <c r="F4" s="77" t="n"/>
      <c r="G4" s="77" t="inlineStr">
        <is>
          <t>_____________  Попова О.И.</t>
        </is>
      </c>
      <c r="H4" s="1" t="n"/>
    </row>
    <row r="5" ht="15.5" customHeight="1" s="78">
      <c r="A5" s="81" t="inlineStr">
        <is>
          <t>г. Москва,ул. Овчинниковская наб.,д.18/1 стр.2</t>
        </is>
      </c>
      <c r="H5" s="1" t="n"/>
      <c r="I5" s="18" t="n"/>
      <c r="J5" s="18" t="n"/>
      <c r="K5" s="20" t="n"/>
      <c r="L5" s="18" t="n"/>
    </row>
    <row r="6" ht="35" customHeight="1" s="78">
      <c r="A6" s="7" t="inlineStr">
        <is>
          <t>ЗАВТРАКИ</t>
        </is>
      </c>
      <c r="B6" s="22" t="n"/>
      <c r="C6" s="22" t="n"/>
      <c r="D6" s="8" t="n"/>
      <c r="E6" s="7" t="inlineStr">
        <is>
          <t>ПЕРВЫЕ БЛЮДА</t>
        </is>
      </c>
      <c r="F6" s="22" t="n"/>
      <c r="G6" s="22" t="n"/>
      <c r="H6" s="21" t="n"/>
      <c r="I6" s="19" t="n"/>
      <c r="J6" s="18" t="n"/>
      <c r="K6" s="20" t="n"/>
      <c r="L6" s="18" t="n"/>
    </row>
    <row r="7" ht="35" customHeight="1" s="78">
      <c r="A7" s="6">
        <f>Касса!A7</f>
        <v/>
      </c>
      <c r="B7" s="3" t="n"/>
      <c r="C7" s="3" t="n"/>
      <c r="D7" s="11" t="n"/>
      <c r="E7" s="6">
        <f>Касса!E7</f>
        <v/>
      </c>
      <c r="F7" s="3" t="n"/>
      <c r="G7" s="9" t="n"/>
      <c r="H7" s="4" t="n"/>
      <c r="I7" s="19" t="n"/>
      <c r="J7" s="18" t="n"/>
      <c r="K7" s="20" t="n"/>
      <c r="L7" s="18" t="n"/>
    </row>
    <row r="8" ht="35" customHeight="1" s="78">
      <c r="A8" s="6">
        <f>Касса!A8</f>
        <v/>
      </c>
      <c r="B8" s="3" t="n"/>
      <c r="C8" s="3" t="n"/>
      <c r="D8" s="11" t="n"/>
      <c r="E8" s="6">
        <f>Касса!E8</f>
        <v/>
      </c>
      <c r="F8" s="3" t="n"/>
      <c r="G8" s="3" t="n"/>
      <c r="H8" s="4" t="n"/>
      <c r="I8" s="19" t="n"/>
      <c r="J8" s="18" t="n"/>
      <c r="K8" s="20" t="n"/>
      <c r="L8" s="18" t="n"/>
    </row>
    <row r="9" ht="35" customHeight="1" s="78">
      <c r="A9" s="6">
        <f>Касса!A9</f>
        <v/>
      </c>
      <c r="B9" s="3" t="n"/>
      <c r="C9" s="3" t="n"/>
      <c r="D9" s="11" t="n"/>
      <c r="E9" s="6">
        <f>Касса!E9</f>
        <v/>
      </c>
      <c r="F9" s="3" t="n"/>
      <c r="G9" s="3" t="n"/>
      <c r="H9" s="4" t="n"/>
      <c r="I9" s="19" t="n"/>
      <c r="J9" s="18" t="n"/>
      <c r="K9" s="20" t="n"/>
      <c r="L9" s="18" t="n"/>
    </row>
    <row r="10" ht="35" customHeight="1" s="78">
      <c r="A10" s="6">
        <f>Касса!A10</f>
        <v/>
      </c>
      <c r="B10" s="3" t="n"/>
      <c r="C10" s="3" t="n"/>
      <c r="D10" s="11" t="n"/>
      <c r="E10" s="6">
        <f>Касса!E10</f>
        <v/>
      </c>
      <c r="F10" s="3" t="n"/>
      <c r="G10" s="3" t="n"/>
      <c r="H10" s="4" t="n"/>
      <c r="I10" s="19" t="n"/>
      <c r="J10" s="18" t="n"/>
      <c r="K10" s="20" t="n"/>
      <c r="L10" s="18" t="n"/>
    </row>
    <row r="11" ht="35" customHeight="1" s="78">
      <c r="A11" s="6">
        <f>Касса!A11</f>
        <v/>
      </c>
      <c r="B11" s="3" t="n"/>
      <c r="C11" s="3" t="n"/>
      <c r="D11" s="11" t="n"/>
      <c r="E11" s="14" t="inlineStr">
        <is>
          <t>БЛЮДА ИЗ МЯСА</t>
        </is>
      </c>
      <c r="F11" s="11" t="n"/>
      <c r="G11" s="11" t="n"/>
      <c r="H11" s="4" t="n"/>
      <c r="I11" s="19" t="n"/>
      <c r="J11" s="18" t="n"/>
      <c r="K11" s="20" t="n"/>
      <c r="L11" s="18" t="n"/>
    </row>
    <row r="12" ht="35" customHeight="1" s="78">
      <c r="A12" s="6">
        <f>Касса!A12</f>
        <v/>
      </c>
      <c r="B12" s="3" t="n"/>
      <c r="C12" s="3" t="n"/>
      <c r="D12" s="11" t="n"/>
      <c r="E12" s="6">
        <f>Касса!E12</f>
        <v/>
      </c>
      <c r="F12" s="3" t="n"/>
      <c r="G12" s="3" t="n"/>
      <c r="H12" s="4" t="n"/>
      <c r="I12" s="19" t="n"/>
      <c r="J12" s="18" t="n"/>
      <c r="K12" s="20" t="n"/>
      <c r="L12" s="18" t="n"/>
    </row>
    <row r="13" ht="35" customHeight="1" s="78">
      <c r="A13" s="6">
        <f>Касса!A13</f>
        <v/>
      </c>
      <c r="B13" s="3" t="n"/>
      <c r="C13" s="3" t="n"/>
      <c r="D13" s="11" t="n"/>
      <c r="E13" s="6">
        <f>Касса!E13</f>
        <v/>
      </c>
      <c r="F13" s="3" t="n"/>
      <c r="G13" s="3" t="n"/>
      <c r="H13" s="1" t="n"/>
      <c r="I13" s="19" t="n"/>
      <c r="J13" s="18" t="n"/>
      <c r="K13" s="20" t="n"/>
      <c r="L13" s="18" t="n"/>
    </row>
    <row r="14" ht="35" customHeight="1" s="78">
      <c r="A14" s="6">
        <f>Касса!A14</f>
        <v/>
      </c>
      <c r="B14" s="13" t="n"/>
      <c r="C14" s="13" t="n"/>
      <c r="D14" s="11" t="n"/>
      <c r="E14" s="6">
        <f>Касса!E14</f>
        <v/>
      </c>
      <c r="F14" s="3" t="n"/>
      <c r="G14" s="3" t="n"/>
      <c r="H14" s="4" t="n"/>
      <c r="I14" s="19" t="n"/>
      <c r="J14" s="18" t="n"/>
      <c r="K14" s="20" t="n"/>
      <c r="L14" s="18" t="n"/>
    </row>
    <row r="15" ht="35" customHeight="1" s="78">
      <c r="A15" s="6">
        <f>Касса!A15</f>
        <v/>
      </c>
      <c r="B15" s="3" t="n"/>
      <c r="C15" s="3" t="n"/>
      <c r="D15" s="11" t="n"/>
      <c r="E15" s="6">
        <f>Касса!E15</f>
        <v/>
      </c>
      <c r="F15" s="3" t="n"/>
      <c r="G15" s="3" t="n"/>
      <c r="H15" s="4" t="n"/>
      <c r="I15" s="19" t="n"/>
      <c r="J15" s="18" t="n"/>
      <c r="K15" s="20" t="n"/>
      <c r="L15" s="18" t="n"/>
    </row>
    <row r="16" ht="35" customHeight="1" s="78">
      <c r="A16" s="6">
        <f>Касса!A16</f>
        <v/>
      </c>
      <c r="B16" s="13" t="n"/>
      <c r="C16" s="13" t="n"/>
      <c r="D16" s="11" t="n"/>
      <c r="E16" s="6">
        <f>Касса!E16</f>
        <v/>
      </c>
      <c r="F16" s="3" t="n"/>
      <c r="G16" s="3" t="n"/>
      <c r="H16" s="19" t="n"/>
      <c r="I16" s="19" t="n"/>
      <c r="J16" s="18" t="n"/>
      <c r="K16" s="20" t="n"/>
      <c r="L16" s="18" t="n"/>
    </row>
    <row r="17" ht="35" customHeight="1" s="78">
      <c r="A17" s="6">
        <f>Касса!A17</f>
        <v/>
      </c>
      <c r="B17" s="3" t="n"/>
      <c r="C17" s="3" t="n"/>
      <c r="D17" s="11" t="n"/>
      <c r="E17" s="6">
        <f>Касса!E17</f>
        <v/>
      </c>
      <c r="F17" s="3" t="n"/>
      <c r="G17" s="3" t="n"/>
      <c r="H17" s="19" t="n"/>
      <c r="I17" s="19" t="n"/>
      <c r="J17" s="18" t="n"/>
      <c r="K17" s="20" t="n"/>
      <c r="L17" s="18" t="n"/>
    </row>
    <row r="18" ht="35" customHeight="1" s="78">
      <c r="A18" s="6">
        <f>Касса!A18</f>
        <v/>
      </c>
      <c r="B18" s="3" t="n"/>
      <c r="C18" s="3" t="n"/>
      <c r="D18" s="11" t="n"/>
      <c r="E18" s="14" t="inlineStr">
        <is>
          <t>БЛЮДА ИЗ ПТИЦЫ</t>
        </is>
      </c>
      <c r="F18" s="11" t="n"/>
      <c r="G18" s="11" t="n"/>
      <c r="H18" s="19" t="n"/>
      <c r="I18" s="19" t="n"/>
      <c r="J18" s="18" t="n"/>
      <c r="K18" s="20" t="n"/>
      <c r="L18" s="18" t="n"/>
    </row>
    <row r="19" ht="35" customHeight="1" s="78">
      <c r="A19" s="6">
        <f>Касса!A19</f>
        <v/>
      </c>
      <c r="B19" s="3" t="n"/>
      <c r="C19" s="3" t="n"/>
      <c r="D19" s="17" t="n"/>
      <c r="E19" s="10">
        <f>Касса!E19</f>
        <v/>
      </c>
      <c r="F19" s="3" t="n"/>
      <c r="G19" s="3" t="n"/>
      <c r="H19" s="19" t="n"/>
      <c r="I19" s="19" t="n"/>
      <c r="J19" s="18" t="n"/>
      <c r="K19" s="20" t="n"/>
      <c r="L19" s="18" t="n"/>
    </row>
    <row r="20" ht="35" customHeight="1" s="78">
      <c r="A20" s="6">
        <f>Касса!A20</f>
        <v/>
      </c>
      <c r="B20" s="3" t="n"/>
      <c r="C20" s="3" t="n"/>
      <c r="D20" s="11" t="n"/>
      <c r="E20" s="10">
        <f>Касса!E20</f>
        <v/>
      </c>
      <c r="F20" s="3" t="n"/>
      <c r="G20" s="3" t="n"/>
      <c r="H20" s="19" t="n"/>
      <c r="I20" s="19" t="n"/>
      <c r="J20" s="18" t="n"/>
      <c r="K20" s="20" t="n"/>
      <c r="L20" s="18" t="n"/>
    </row>
    <row r="21" ht="35" customHeight="1" s="78">
      <c r="A21" s="6">
        <f>Касса!A21</f>
        <v/>
      </c>
      <c r="B21" s="3" t="n"/>
      <c r="C21" s="3" t="n"/>
      <c r="D21" s="11" t="n"/>
      <c r="E21" s="10">
        <f>Касса!E21</f>
        <v/>
      </c>
      <c r="F21" s="3" t="n"/>
      <c r="G21" s="3" t="n"/>
      <c r="H21" s="19" t="n"/>
      <c r="I21" s="20" t="n"/>
      <c r="J21" s="18" t="n"/>
      <c r="K21" s="20" t="n"/>
      <c r="L21" s="18" t="n"/>
    </row>
    <row r="22" ht="35" customHeight="1" s="78">
      <c r="A22" s="6">
        <f>Касса!A22</f>
        <v/>
      </c>
      <c r="B22" s="3" t="n"/>
      <c r="C22" s="3" t="n"/>
      <c r="D22" s="11" t="n"/>
      <c r="E22" s="10">
        <f>Касса!E22</f>
        <v/>
      </c>
      <c r="F22" s="3" t="n"/>
      <c r="G22" s="3" t="n"/>
      <c r="H22" s="19" t="n"/>
      <c r="I22" s="20" t="n"/>
      <c r="J22" s="18" t="n"/>
      <c r="K22" s="20" t="n"/>
      <c r="L22" s="18" t="n"/>
    </row>
    <row r="23" ht="35" customHeight="1" s="78">
      <c r="A23" s="6">
        <f>Касса!A23</f>
        <v/>
      </c>
      <c r="B23" s="3" t="n"/>
      <c r="C23" s="3" t="n"/>
      <c r="D23" s="11" t="n"/>
      <c r="E23" s="10">
        <f>Касса!E23</f>
        <v/>
      </c>
      <c r="F23" s="3" t="n"/>
      <c r="G23" s="3" t="n"/>
      <c r="H23" s="19" t="n"/>
      <c r="I23" s="20" t="n"/>
      <c r="J23" s="18" t="n"/>
      <c r="K23" s="20" t="n"/>
      <c r="L23" s="18" t="n"/>
    </row>
    <row r="24" ht="35" customHeight="1" s="78">
      <c r="A24" s="6">
        <f>Касса!A24</f>
        <v/>
      </c>
      <c r="B24" s="3" t="n"/>
      <c r="C24" s="3" t="n"/>
      <c r="D24" s="11" t="n"/>
      <c r="E24" s="10">
        <f>Касса!E24</f>
        <v/>
      </c>
      <c r="F24" s="3" t="n"/>
      <c r="G24" s="3" t="n"/>
      <c r="H24" s="19" t="n"/>
      <c r="I24" s="20" t="n"/>
      <c r="J24" s="18" t="n"/>
      <c r="K24" s="20" t="n"/>
      <c r="L24" s="18" t="n"/>
    </row>
    <row r="25" ht="35" customHeight="1" s="78">
      <c r="A25" s="6">
        <f>Касса!A25</f>
        <v/>
      </c>
      <c r="B25" s="3" t="n"/>
      <c r="C25" s="3" t="n"/>
      <c r="D25" s="11" t="n"/>
      <c r="E25" s="14" t="inlineStr">
        <is>
          <t>БЛЮДА ИЗ РЫБЫ</t>
        </is>
      </c>
      <c r="F25" s="3" t="n"/>
      <c r="G25" s="15" t="n"/>
      <c r="H25" s="19" t="n"/>
      <c r="I25" s="20" t="n"/>
      <c r="J25" s="18" t="n"/>
      <c r="K25" s="20" t="n"/>
      <c r="L25" s="18" t="n"/>
    </row>
    <row r="26" ht="35" customHeight="1" s="78">
      <c r="A26" s="6">
        <f>Касса!A26</f>
        <v/>
      </c>
      <c r="B26" s="3" t="n"/>
      <c r="C26" s="3" t="n"/>
      <c r="D26" s="11" t="n"/>
      <c r="E26" s="16">
        <f>Касса!E26</f>
        <v/>
      </c>
      <c r="F26" s="3" t="n"/>
      <c r="G26" s="3" t="n"/>
      <c r="H26" s="19" t="n"/>
      <c r="I26" s="20" t="n"/>
      <c r="J26" s="18" t="n"/>
      <c r="K26" s="20" t="n"/>
      <c r="L26" s="18" t="n"/>
    </row>
    <row r="27" ht="35" customHeight="1" s="78">
      <c r="A27" s="6">
        <f>Касса!A27</f>
        <v/>
      </c>
      <c r="B27" s="3" t="n"/>
      <c r="C27" s="3" t="n"/>
      <c r="D27" s="11" t="n"/>
      <c r="E27" s="16">
        <f>Касса!E27</f>
        <v/>
      </c>
      <c r="F27" s="3" t="n"/>
      <c r="G27" s="9" t="n"/>
      <c r="H27" s="19" t="n"/>
      <c r="I27" s="20" t="n"/>
      <c r="J27" s="18" t="n"/>
      <c r="K27" s="20" t="n"/>
      <c r="L27" s="18" t="n"/>
    </row>
    <row r="28" ht="35" customHeight="1" s="78">
      <c r="A28" s="6">
        <f>Касса!A28</f>
        <v/>
      </c>
      <c r="B28" s="3" t="n"/>
      <c r="C28" s="3" t="n"/>
      <c r="D28" s="11" t="n"/>
      <c r="E28" s="16">
        <f>Касса!E28</f>
        <v/>
      </c>
      <c r="F28" s="3" t="n"/>
      <c r="G28" s="3" t="n"/>
      <c r="H28" s="19" t="n"/>
      <c r="I28" s="20" t="n"/>
      <c r="J28" s="18" t="n"/>
      <c r="K28" s="20" t="n"/>
      <c r="L28" s="18" t="n"/>
    </row>
    <row r="29" ht="35" customHeight="1" s="78">
      <c r="A29" s="6">
        <f>Касса!A29</f>
        <v/>
      </c>
      <c r="B29" s="3" t="n"/>
      <c r="C29" s="3" t="n"/>
      <c r="D29" s="11" t="n"/>
      <c r="E29" s="16">
        <f>Касса!E29</f>
        <v/>
      </c>
      <c r="F29" s="3" t="n"/>
      <c r="G29" s="9" t="n"/>
      <c r="H29" s="19" t="n"/>
      <c r="I29" s="20" t="n"/>
      <c r="J29" s="18" t="n"/>
      <c r="K29" s="20" t="n"/>
      <c r="L29" s="18" t="n"/>
    </row>
    <row r="30" ht="35" customHeight="1" s="78">
      <c r="A30" s="52" t="n"/>
      <c r="B30" s="53" t="n"/>
      <c r="C30" s="53" t="n"/>
      <c r="D30" s="11" t="n"/>
      <c r="E30" s="14" t="inlineStr">
        <is>
          <t>ГАРНИРЫ</t>
        </is>
      </c>
      <c r="F30" s="11" t="n"/>
      <c r="G30" s="11" t="n"/>
      <c r="H30" s="19" t="n"/>
      <c r="I30" s="20" t="n"/>
      <c r="J30" s="18" t="n"/>
      <c r="K30" s="20" t="n"/>
      <c r="L30" s="18" t="n"/>
    </row>
    <row r="31" ht="35" customHeight="1" s="78">
      <c r="A31" s="10" t="n"/>
      <c r="B31" s="15" t="n"/>
      <c r="C31" s="54" t="n"/>
      <c r="D31" s="11" t="n"/>
      <c r="E31" s="6">
        <f>Касса!E31</f>
        <v/>
      </c>
      <c r="F31" s="3" t="n"/>
      <c r="G31" s="3" t="n"/>
      <c r="H31" s="19" t="n"/>
      <c r="I31" s="20" t="n"/>
      <c r="J31" s="18" t="n"/>
      <c r="K31" s="20" t="n"/>
      <c r="L31" s="18" t="n"/>
    </row>
    <row r="32" ht="35" customHeight="1" s="78">
      <c r="A32" s="10" t="n"/>
      <c r="B32" s="15" t="n"/>
      <c r="C32" s="54" t="n"/>
      <c r="D32" s="11" t="n"/>
      <c r="E32" s="6">
        <f>Касса!E32</f>
        <v/>
      </c>
      <c r="F32" s="3" t="n"/>
      <c r="G32" s="9" t="n"/>
      <c r="H32" s="19" t="n"/>
      <c r="I32" s="20" t="n"/>
      <c r="J32" s="18" t="n"/>
      <c r="K32" s="20" t="n"/>
      <c r="L32" s="18" t="n"/>
    </row>
    <row r="33" ht="35" customHeight="1" s="78">
      <c r="A33" s="10" t="n"/>
      <c r="B33" s="15" t="n"/>
      <c r="C33" s="54" t="n"/>
      <c r="D33" s="11" t="n"/>
      <c r="E33" s="6">
        <f>Касса!E33</f>
        <v/>
      </c>
      <c r="F33" s="3" t="n"/>
      <c r="G33" s="9" t="n"/>
      <c r="H33" s="19" t="n"/>
      <c r="I33" s="20" t="n"/>
      <c r="J33" s="18" t="n"/>
      <c r="K33" s="20" t="n"/>
      <c r="L33" s="18" t="n"/>
    </row>
    <row r="34" ht="35" customHeight="1" s="78">
      <c r="A34" s="10" t="n"/>
      <c r="B34" s="15" t="n"/>
      <c r="C34" s="54" t="n"/>
      <c r="D34" s="11" t="n"/>
      <c r="E34" s="6">
        <f>Касса!E34</f>
        <v/>
      </c>
      <c r="F34" s="3" t="n"/>
      <c r="G34" s="9" t="n"/>
      <c r="H34" s="19" t="n"/>
      <c r="I34" s="20" t="n"/>
      <c r="J34" s="18" t="n"/>
      <c r="K34" s="20" t="n"/>
      <c r="L34" s="18" t="n"/>
    </row>
    <row r="35" ht="35" customHeight="1" s="78">
      <c r="A35" s="10" t="n"/>
      <c r="B35" s="15" t="n"/>
      <c r="C35" s="54" t="n"/>
      <c r="D35" s="11" t="n"/>
      <c r="E35" s="6">
        <f>Касса!E35</f>
        <v/>
      </c>
      <c r="F35" s="3" t="n"/>
      <c r="G35" s="9" t="n"/>
      <c r="H35" s="19" t="n"/>
      <c r="I35" s="20" t="n"/>
      <c r="J35" s="18" t="n"/>
      <c r="K35" s="20" t="n"/>
      <c r="L35" s="18" t="n"/>
    </row>
    <row r="36" ht="35" customHeight="1" s="78">
      <c r="A36" s="10" t="n"/>
      <c r="B36" s="15" t="n"/>
      <c r="C36" s="54" t="n"/>
      <c r="D36" s="11" t="n"/>
      <c r="E36" s="6">
        <f>Касса!E36</f>
        <v/>
      </c>
      <c r="F36" s="3" t="n"/>
      <c r="G36" s="9" t="n"/>
      <c r="H36" s="19" t="n"/>
      <c r="I36" s="20" t="n"/>
      <c r="J36" s="18" t="n"/>
      <c r="K36" s="20" t="n"/>
      <c r="L36" s="18" t="n"/>
    </row>
    <row r="37" ht="35" customHeight="1" s="78">
      <c r="A37" s="10" t="n"/>
      <c r="B37" s="15" t="n"/>
      <c r="C37" s="54" t="n"/>
      <c r="D37" s="11" t="n"/>
      <c r="E37" s="6">
        <f>Касса!E37</f>
        <v/>
      </c>
      <c r="F37" s="3" t="n"/>
      <c r="G37" s="9" t="n"/>
      <c r="H37" s="19" t="n"/>
      <c r="I37" s="20" t="n"/>
      <c r="J37" s="18" t="n"/>
      <c r="K37" s="20" t="n"/>
      <c r="L37" s="18" t="n"/>
    </row>
    <row r="38" ht="35" customHeight="1" s="78">
      <c r="A38" s="10" t="n"/>
      <c r="B38" s="15" t="n"/>
      <c r="C38" s="54" t="n"/>
      <c r="D38" s="11" t="n"/>
      <c r="E38" s="6">
        <f>Касса!E38</f>
        <v/>
      </c>
      <c r="F38" s="3" t="n"/>
      <c r="G38" s="9" t="n"/>
      <c r="H38" s="19" t="n"/>
      <c r="I38" s="20" t="n"/>
      <c r="J38" s="18" t="n"/>
      <c r="K38" s="20" t="n"/>
      <c r="L38" s="18" t="n"/>
    </row>
    <row r="39" ht="35" customHeight="1" s="78">
      <c r="A39" s="10" t="n"/>
      <c r="B39" s="15" t="n"/>
      <c r="C39" s="54" t="n"/>
      <c r="D39" s="17" t="n"/>
      <c r="E39" s="53" t="n"/>
      <c r="F39" s="53" t="n"/>
      <c r="G39" s="53" t="n"/>
      <c r="H39" s="57" t="n"/>
      <c r="I39" s="58" t="n"/>
      <c r="J39" s="18" t="n"/>
      <c r="K39" s="20" t="n"/>
      <c r="L39" s="18" t="n"/>
    </row>
    <row r="40" ht="15.5" customHeight="1" s="78">
      <c r="A40" s="85" t="n"/>
      <c r="H40" s="57" t="n"/>
      <c r="I40" s="58" t="n"/>
      <c r="J40" s="18" t="n"/>
      <c r="K40" s="20" t="n"/>
      <c r="L40" s="18" t="n"/>
    </row>
    <row r="41" ht="16.5" customHeight="1" s="78">
      <c r="A41" s="76" t="n"/>
      <c r="H41" s="59" t="n"/>
      <c r="I41" s="58" t="n"/>
      <c r="J41" s="18" t="n"/>
      <c r="K41" s="20" t="n"/>
      <c r="L41" s="18" t="n"/>
    </row>
    <row r="42" ht="16.5" customHeight="1" s="78">
      <c r="A42" s="28" t="n"/>
      <c r="B42" s="28" t="n"/>
      <c r="C42" s="28" t="n"/>
      <c r="D42" s="28" t="n"/>
      <c r="E42" s="76" t="n"/>
      <c r="F42" s="76" t="n"/>
      <c r="G42" s="76" t="n"/>
      <c r="H42" s="57" t="n"/>
      <c r="I42" s="58" t="n"/>
      <c r="J42" s="18" t="n"/>
      <c r="K42" s="20" t="n"/>
      <c r="L42" s="18" t="n"/>
    </row>
    <row r="43" ht="16.5" customHeight="1" s="78">
      <c r="A43" s="28" t="n"/>
      <c r="B43" s="28" t="n"/>
      <c r="C43" s="28" t="n"/>
      <c r="D43" s="28" t="n"/>
      <c r="E43" s="28" t="n"/>
      <c r="F43" s="28" t="n"/>
      <c r="G43" s="28" t="n"/>
      <c r="H43" s="60" t="n"/>
      <c r="I43" s="58" t="n"/>
      <c r="J43" s="18" t="n"/>
      <c r="K43" s="20" t="n"/>
      <c r="L43" s="18" t="n"/>
    </row>
    <row r="44" ht="14.25" customHeight="1" s="78">
      <c r="A44" s="28" t="n"/>
      <c r="B44" s="28" t="n"/>
      <c r="C44" s="28" t="n"/>
      <c r="D44" s="28" t="n"/>
      <c r="E44" s="28" t="n"/>
      <c r="F44" s="28" t="n"/>
      <c r="G44" s="28" t="n"/>
      <c r="H44" s="61" t="n"/>
      <c r="I44" s="58" t="n"/>
      <c r="J44" s="18" t="n"/>
      <c r="K44" s="20" t="n"/>
      <c r="L44" s="18" t="n"/>
    </row>
    <row r="45" ht="15.5" customHeight="1" s="78">
      <c r="H45" s="59" t="n"/>
      <c r="I45" s="58" t="n"/>
      <c r="J45" s="18" t="n"/>
      <c r="K45" s="20" t="n"/>
      <c r="L45" s="18" t="n"/>
    </row>
    <row r="46" ht="15.5" customHeight="1" s="78">
      <c r="H46" s="59" t="n"/>
      <c r="I46" s="58" t="n"/>
      <c r="J46" s="18" t="n"/>
      <c r="K46" s="20" t="n"/>
      <c r="L46" s="18" t="n"/>
    </row>
    <row r="47" ht="16.5" customHeight="1" s="78">
      <c r="H47" s="59" t="n"/>
      <c r="I47" s="58" t="n"/>
      <c r="J47" s="18" t="n"/>
      <c r="K47" s="20" t="n"/>
      <c r="L47" s="18" t="n"/>
    </row>
    <row r="48" ht="15.75" customHeight="1" s="78">
      <c r="H48" s="59" t="n"/>
      <c r="I48" s="58" t="n"/>
      <c r="J48" s="18" t="n"/>
      <c r="K48" s="20" t="n"/>
      <c r="L48" s="18" t="n"/>
    </row>
    <row r="49" ht="15.75" customHeight="1" s="78">
      <c r="H49" s="61" t="n"/>
      <c r="I49" s="58" t="n"/>
      <c r="J49" s="18" t="n"/>
      <c r="K49" s="20" t="n"/>
      <c r="L49" s="18" t="n"/>
    </row>
    <row r="50" ht="15.5" customHeight="1" s="78">
      <c r="H50" s="59" t="n"/>
      <c r="I50" s="58" t="n"/>
      <c r="J50" s="18" t="n"/>
      <c r="K50" s="20" t="n"/>
      <c r="L50" s="18" t="n"/>
    </row>
    <row r="51" ht="15.5" customHeight="1" s="78">
      <c r="H51" s="59" t="n"/>
      <c r="I51" s="58" t="n"/>
      <c r="J51" s="18" t="n"/>
      <c r="K51" s="20" t="n"/>
      <c r="L51" s="18" t="n"/>
    </row>
    <row r="52" ht="18" customHeight="1" s="78">
      <c r="H52" s="59" t="n"/>
      <c r="I52" s="58" t="n"/>
      <c r="J52" s="18" t="n"/>
      <c r="K52" s="20" t="n"/>
      <c r="L52" s="18" t="n"/>
    </row>
    <row r="53" ht="15.5" customHeight="1" s="78">
      <c r="H53" s="59" t="n"/>
      <c r="I53" s="58" t="n"/>
      <c r="J53" s="18" t="n"/>
      <c r="K53" s="20" t="n"/>
      <c r="L53" s="18" t="n"/>
    </row>
    <row r="54" ht="15.5" customHeight="1" s="78">
      <c r="H54" s="59" t="n"/>
      <c r="I54" s="58" t="n"/>
      <c r="J54" s="18" t="n"/>
      <c r="K54" s="18" t="n"/>
      <c r="L54" s="18" t="n"/>
    </row>
    <row r="55" ht="18" customHeight="1" s="78">
      <c r="H55" s="59" t="n"/>
      <c r="I55" s="58" t="n"/>
      <c r="J55" s="18" t="n"/>
      <c r="K55" s="18" t="n"/>
      <c r="L55" s="18" t="n"/>
    </row>
    <row r="56" ht="18.75" customHeight="1" s="78">
      <c r="H56" s="59" t="n"/>
      <c r="I56" s="58" t="n"/>
      <c r="J56" s="18" t="n"/>
      <c r="K56" s="18" t="n"/>
      <c r="L56" s="18" t="n"/>
    </row>
    <row r="57" ht="15.5" customHeight="1" s="78">
      <c r="H57" s="1" t="n"/>
      <c r="I57" s="19" t="n"/>
      <c r="J57" s="18" t="n"/>
      <c r="K57" s="18" t="n"/>
      <c r="L57" s="18" t="n"/>
    </row>
    <row r="58" ht="15.5" customHeight="1" s="78">
      <c r="H58" s="1" t="n"/>
      <c r="I58" s="19" t="n"/>
      <c r="J58" s="18" t="n"/>
      <c r="K58" s="18" t="n"/>
      <c r="L58" s="18" t="n"/>
    </row>
    <row r="59" ht="15.5" customHeight="1" s="78">
      <c r="H59" s="1" t="n"/>
      <c r="I59" s="19" t="n"/>
      <c r="J59" s="18" t="n"/>
      <c r="K59" s="18" t="n"/>
      <c r="L59" s="18" t="n"/>
    </row>
    <row r="60" ht="18" customHeight="1" s="78">
      <c r="H60" s="1" t="n"/>
      <c r="I60" s="19" t="n"/>
      <c r="J60" s="18" t="n"/>
      <c r="K60" s="18" t="n"/>
      <c r="L60" s="18" t="n"/>
    </row>
    <row r="61" hidden="1" ht="15.5" customHeight="1" s="78">
      <c r="H61" s="1" t="n"/>
      <c r="I61" s="18" t="n"/>
      <c r="J61" s="18" t="n"/>
      <c r="K61" s="18" t="n"/>
      <c r="L61" s="18" t="n"/>
    </row>
    <row r="62" hidden="1" ht="15.5" customHeight="1" s="78">
      <c r="H62" s="1" t="n"/>
      <c r="I62" s="18" t="n"/>
      <c r="J62" s="18" t="n"/>
      <c r="K62" s="18" t="n"/>
      <c r="L62" s="18" t="n"/>
    </row>
    <row r="63" ht="27" customHeight="1" s="78">
      <c r="I63" s="18" t="n"/>
      <c r="J63" s="18" t="n"/>
      <c r="K63" s="18" t="n"/>
      <c r="L63" s="18" t="n"/>
    </row>
    <row r="64" ht="12.75" customHeight="1" s="78">
      <c r="I64" s="18" t="n"/>
      <c r="J64" s="18" t="n"/>
      <c r="K64" s="18" t="n"/>
      <c r="L64" s="18" t="n"/>
    </row>
    <row r="65" ht="23.25" customHeight="1" s="78">
      <c r="I65" s="18" t="n"/>
      <c r="J65" s="18" t="n"/>
      <c r="K65" s="18" t="n"/>
      <c r="L65" s="18" t="n"/>
    </row>
    <row r="66" ht="15.5" customHeight="1" s="78">
      <c r="I66" s="18" t="n"/>
      <c r="J66" s="18" t="n"/>
      <c r="K66" s="18" t="n"/>
      <c r="L66" s="18" t="n"/>
    </row>
    <row r="67" ht="4.5" customHeight="1" s="78"/>
  </sheetData>
  <mergeCells count="7">
    <mergeCell ref="E2:G2"/>
    <mergeCell ref="B2:C2"/>
    <mergeCell ref="A40:G40"/>
    <mergeCell ref="B3:C3"/>
    <mergeCell ref="E3:G3"/>
    <mergeCell ref="A41:G41"/>
    <mergeCell ref="A5:G5"/>
  </mergeCells>
  <pageMargins left="0.03937007874015748" right="0.03937007874015748" top="0" bottom="0" header="0.1181102362204725" footer="0.1181102362204725"/>
  <pageSetup orientation="portrait" paperSize="9" scale="75" firstPageNumber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"/>
  <sheetViews>
    <sheetView topLeftCell="A4" zoomScaleNormal="100" workbookViewId="0">
      <selection activeCell="E12" sqref="E12"/>
    </sheetView>
  </sheetViews>
  <sheetFormatPr baseColWidth="8" defaultRowHeight="12.5"/>
  <cols>
    <col width="41.7265625" customWidth="1" style="78" min="1" max="1"/>
    <col width="12.54296875" customWidth="1" style="78" min="2" max="2"/>
    <col width="11.1796875" customWidth="1" style="78" min="3" max="3"/>
    <col hidden="1" width="4.7265625" customWidth="1" style="78" min="4" max="4"/>
    <col width="47.7265625" customWidth="1" style="78" min="5" max="5"/>
    <col width="13.1796875" customWidth="1" style="78" min="6" max="6"/>
    <col width="9.453125" customWidth="1" style="78" min="7" max="7"/>
    <col width="6.54296875" customWidth="1" style="78" min="8" max="9"/>
    <col width="5.453125" customWidth="1" style="78" min="10" max="10"/>
  </cols>
  <sheetData>
    <row r="1" ht="13" customHeight="1" s="78">
      <c r="A1" s="1" t="n"/>
      <c r="B1" s="1" t="n"/>
      <c r="C1" s="1" t="n"/>
      <c r="D1" s="1" t="n"/>
      <c r="E1" s="1" t="n"/>
      <c r="F1" s="1" t="n"/>
      <c r="G1" s="1" t="n"/>
      <c r="H1" s="1" t="n"/>
    </row>
    <row r="2" ht="13" customHeight="1" s="78">
      <c r="A2" s="1" t="n"/>
      <c r="B2" s="79">
        <f>Касса!B2</f>
        <v/>
      </c>
      <c r="D2" s="1" t="n"/>
      <c r="E2" s="77" t="inlineStr">
        <is>
          <t xml:space="preserve">Утверждаю </t>
        </is>
      </c>
      <c r="H2" s="1" t="n"/>
    </row>
    <row r="3" ht="15.5" customHeight="1" s="78">
      <c r="A3" s="1" t="n"/>
      <c r="B3" s="80">
        <f>Касса!B3</f>
        <v/>
      </c>
      <c r="D3" s="1" t="n"/>
      <c r="E3" s="77" t="inlineStr">
        <is>
          <t>Директор  ООО «Патриот-Москва»</t>
        </is>
      </c>
      <c r="H3" s="1" t="n"/>
    </row>
    <row r="4" ht="13" customHeight="1" s="78">
      <c r="A4" s="1" t="n"/>
      <c r="B4" s="1" t="inlineStr">
        <is>
          <t>МЕНЮ СТОЛОВОЙ "ПАТРИОТ"</t>
        </is>
      </c>
      <c r="C4" s="1" t="n"/>
      <c r="D4" s="1" t="n"/>
      <c r="E4" s="1" t="n"/>
      <c r="F4" s="77" t="n"/>
      <c r="G4" s="77" t="inlineStr">
        <is>
          <t>_____________  Попова О.И.</t>
        </is>
      </c>
      <c r="H4" s="1" t="n"/>
    </row>
    <row r="5" ht="15.5" customHeight="1" s="78">
      <c r="A5" s="81" t="inlineStr">
        <is>
          <t>г. Москва,ул. Овчинниковская наб.,д.18/1 стр.2</t>
        </is>
      </c>
      <c r="H5" s="1" t="n"/>
      <c r="I5" s="18" t="n"/>
      <c r="J5" s="18" t="n"/>
      <c r="K5" s="20" t="n"/>
      <c r="L5" s="18" t="n"/>
    </row>
    <row r="6" ht="31" customHeight="1" s="78">
      <c r="A6" s="7" t="inlineStr">
        <is>
          <t>САЛАТЫ и ХОЛОДНЫЕ ЗАКУСКИ</t>
        </is>
      </c>
      <c r="B6" s="62" t="inlineStr">
        <is>
          <t>Выходы</t>
        </is>
      </c>
      <c r="C6" s="62" t="inlineStr">
        <is>
          <t>План</t>
        </is>
      </c>
      <c r="D6" s="52" t="n"/>
      <c r="E6" s="52" t="n"/>
      <c r="F6" s="62" t="n"/>
      <c r="G6" s="62" t="n"/>
      <c r="H6" s="21" t="n"/>
      <c r="I6" s="19" t="n"/>
      <c r="J6" s="18" t="n"/>
      <c r="K6" s="20" t="n"/>
      <c r="L6" s="18" t="n"/>
    </row>
    <row r="7" ht="31" customHeight="1" s="78">
      <c r="A7" s="6">
        <f>Касса!A31</f>
        <v/>
      </c>
      <c r="B7" s="3">
        <f>Касса!B31</f>
        <v/>
      </c>
      <c r="C7" s="15" t="n"/>
      <c r="D7" s="53" t="n"/>
      <c r="E7" s="10" t="n"/>
      <c r="F7" s="15" t="n"/>
      <c r="G7" s="54" t="n"/>
      <c r="H7" s="4" t="n"/>
      <c r="I7" s="19" t="n"/>
      <c r="J7" s="18" t="n"/>
      <c r="K7" s="20" t="n"/>
      <c r="L7" s="18" t="n"/>
    </row>
    <row r="8" ht="31" customHeight="1" s="78">
      <c r="A8" s="6">
        <f>Касса!A32</f>
        <v/>
      </c>
      <c r="B8" s="3">
        <f>Касса!B32</f>
        <v/>
      </c>
      <c r="C8" s="15" t="n"/>
      <c r="D8" s="53" t="n"/>
      <c r="E8" s="10" t="n"/>
      <c r="F8" s="15" t="n"/>
      <c r="G8" s="15" t="n"/>
      <c r="H8" s="4" t="n"/>
      <c r="I8" s="19" t="n"/>
      <c r="J8" s="18" t="n"/>
      <c r="K8" s="20" t="n"/>
      <c r="L8" s="18" t="n"/>
    </row>
    <row r="9" ht="31" customHeight="1" s="78">
      <c r="A9" s="6">
        <f>Касса!A33</f>
        <v/>
      </c>
      <c r="B9" s="3">
        <f>Касса!B33</f>
        <v/>
      </c>
      <c r="C9" s="15" t="n"/>
      <c r="D9" s="53" t="n"/>
      <c r="E9" s="10" t="n"/>
      <c r="F9" s="15" t="n"/>
      <c r="G9" s="15" t="n"/>
      <c r="H9" s="4" t="n"/>
      <c r="I9" s="19" t="n"/>
      <c r="J9" s="18" t="n"/>
      <c r="K9" s="20" t="n"/>
      <c r="L9" s="18" t="n"/>
    </row>
    <row r="10" ht="31" customHeight="1" s="78">
      <c r="A10" s="6">
        <f>Касса!A34</f>
        <v/>
      </c>
      <c r="B10" s="3">
        <f>Касса!B34</f>
        <v/>
      </c>
      <c r="C10" s="15" t="n"/>
      <c r="D10" s="53" t="n"/>
      <c r="E10" s="10" t="n"/>
      <c r="F10" s="15" t="n"/>
      <c r="G10" s="15" t="n"/>
      <c r="H10" s="4" t="n"/>
      <c r="I10" s="19" t="n"/>
      <c r="J10" s="18" t="n"/>
      <c r="K10" s="20" t="n"/>
      <c r="L10" s="18" t="n"/>
    </row>
    <row r="11" ht="31" customHeight="1" s="78">
      <c r="A11" s="6">
        <f>Касса!A35</f>
        <v/>
      </c>
      <c r="B11" s="3">
        <f>Касса!B35</f>
        <v/>
      </c>
      <c r="C11" s="15" t="n"/>
      <c r="D11" s="53" t="n"/>
      <c r="E11" s="53" t="n"/>
      <c r="F11" s="53" t="n"/>
      <c r="G11" s="53" t="n"/>
      <c r="H11" s="4" t="n"/>
      <c r="I11" s="19" t="n"/>
      <c r="J11" s="18" t="n"/>
      <c r="K11" s="20" t="n"/>
      <c r="L11" s="18" t="n"/>
    </row>
    <row r="12" ht="31" customHeight="1" s="78">
      <c r="A12" s="6">
        <f>Касса!A36</f>
        <v/>
      </c>
      <c r="B12" s="3">
        <f>Касса!B36</f>
        <v/>
      </c>
      <c r="C12" s="15" t="n"/>
      <c r="D12" s="53" t="n"/>
      <c r="E12" s="10" t="n"/>
      <c r="F12" s="15" t="n"/>
      <c r="G12" s="15" t="n"/>
      <c r="H12" s="4" t="n"/>
      <c r="I12" s="19" t="n"/>
      <c r="J12" s="18" t="n"/>
      <c r="K12" s="20" t="n"/>
      <c r="L12" s="18" t="n"/>
    </row>
    <row r="13" ht="31" customHeight="1" s="78">
      <c r="A13" s="6">
        <f>Касса!A37</f>
        <v/>
      </c>
      <c r="B13" s="3">
        <f>Касса!B37</f>
        <v/>
      </c>
      <c r="C13" s="15" t="n"/>
      <c r="D13" s="53" t="n"/>
      <c r="E13" s="10" t="n"/>
      <c r="F13" s="15" t="n"/>
      <c r="G13" s="15" t="n"/>
      <c r="H13" s="1" t="n"/>
      <c r="I13" s="19" t="n"/>
      <c r="J13" s="18" t="n"/>
      <c r="K13" s="20" t="n"/>
      <c r="L13" s="18" t="n"/>
    </row>
    <row r="14" ht="31" customHeight="1" s="78">
      <c r="A14" s="6">
        <f>Касса!A38</f>
        <v/>
      </c>
      <c r="B14" s="3">
        <f>Касса!B38</f>
        <v/>
      </c>
      <c r="C14" s="64" t="n"/>
      <c r="D14" s="53" t="n"/>
      <c r="E14" s="23" t="n"/>
      <c r="F14" s="15" t="n"/>
      <c r="G14" s="15" t="n"/>
      <c r="H14" s="4" t="n"/>
      <c r="I14" s="19" t="n"/>
      <c r="J14" s="18" t="n"/>
      <c r="K14" s="20" t="n"/>
      <c r="L14" s="18" t="n"/>
    </row>
    <row r="15" ht="31" customHeight="1" s="78">
      <c r="A15" s="6">
        <f>Касса!A39</f>
        <v/>
      </c>
      <c r="B15" s="3">
        <f>Касса!B39</f>
        <v/>
      </c>
      <c r="C15" s="15" t="n"/>
      <c r="D15" s="53" t="n"/>
      <c r="E15" s="10" t="n"/>
      <c r="F15" s="15" t="n"/>
      <c r="G15" s="15" t="n"/>
      <c r="H15" s="4" t="n"/>
      <c r="I15" s="19" t="n"/>
      <c r="J15" s="18" t="n"/>
      <c r="K15" s="20" t="n"/>
      <c r="L15" s="18" t="n"/>
    </row>
    <row r="16" ht="31" customHeight="1" s="78">
      <c r="A16" s="6">
        <f>Касса!A40</f>
        <v/>
      </c>
      <c r="B16" s="3">
        <f>Касса!B40</f>
        <v/>
      </c>
      <c r="C16" s="64" t="n"/>
      <c r="D16" s="53" t="n"/>
      <c r="E16" s="10" t="n"/>
      <c r="F16" s="15" t="n"/>
      <c r="G16" s="15" t="n"/>
      <c r="H16" s="19" t="n"/>
      <c r="I16" s="19" t="n"/>
      <c r="J16" s="18" t="n"/>
      <c r="K16" s="20" t="n"/>
      <c r="L16" s="18" t="n"/>
    </row>
    <row r="17" ht="31" customHeight="1" s="78">
      <c r="A17" s="6">
        <f>Касса!A41</f>
        <v/>
      </c>
      <c r="B17" s="3">
        <f>Касса!B41</f>
        <v/>
      </c>
      <c r="C17" s="15" t="n"/>
      <c r="D17" s="53" t="n"/>
      <c r="E17" s="10" t="n"/>
      <c r="F17" s="15" t="n"/>
      <c r="G17" s="15" t="n"/>
      <c r="H17" s="19" t="n"/>
      <c r="I17" s="19" t="n"/>
      <c r="J17" s="18" t="n"/>
      <c r="K17" s="20" t="n"/>
      <c r="L17" s="18" t="n"/>
    </row>
    <row r="18" ht="31" customHeight="1" s="78">
      <c r="A18" s="10">
        <f>LEFT(Касса!A42,FIND("/",Касса!A42)-1)</f>
        <v/>
      </c>
      <c r="B18" s="3">
        <f>LEFT(Касса!B42,FIND("/",Касса!B42)-1) &amp; "г"</f>
        <v/>
      </c>
      <c r="C18" s="15" t="n"/>
      <c r="D18" s="53" t="n"/>
      <c r="E18" s="53" t="n"/>
      <c r="F18" s="53" t="n"/>
      <c r="G18" s="53" t="n"/>
      <c r="H18" s="19" t="n"/>
      <c r="I18" s="19" t="n"/>
      <c r="J18" s="18" t="n"/>
      <c r="K18" s="20" t="n"/>
      <c r="L18" s="18" t="n"/>
    </row>
    <row r="19" ht="31" customHeight="1" s="78">
      <c r="A19" s="10">
        <f>"Цезарь "&amp;MID(Касса!A42,FIND("/",Касса!A42)+1,999)</f>
        <v/>
      </c>
      <c r="B19" s="3">
        <f>MID(Касса!B42,FIND("/",Касса!B42)+1,999)</f>
        <v/>
      </c>
      <c r="C19" s="15" t="n"/>
      <c r="D19" s="65" t="n"/>
      <c r="E19" s="10" t="n"/>
      <c r="F19" s="15" t="n"/>
      <c r="G19" s="15" t="n"/>
      <c r="H19" s="19" t="n"/>
      <c r="I19" s="19" t="n"/>
      <c r="J19" s="18" t="n"/>
      <c r="K19" s="20" t="n"/>
      <c r="L19" s="18" t="n"/>
    </row>
    <row r="20" ht="31" customHeight="1" s="78">
      <c r="A20" s="17" t="inlineStr">
        <is>
          <t>Всего:</t>
        </is>
      </c>
      <c r="B20" s="53" t="n"/>
      <c r="C20" s="53">
        <f>SUM(C7:C19)</f>
        <v/>
      </c>
      <c r="D20" s="53" t="n"/>
      <c r="E20" s="10" t="n"/>
      <c r="F20" s="15" t="n"/>
      <c r="G20" s="15" t="n"/>
      <c r="H20" s="19" t="n"/>
      <c r="I20" s="19" t="n"/>
      <c r="J20" s="18" t="n"/>
      <c r="K20" s="20" t="n"/>
      <c r="L20" s="18" t="n"/>
    </row>
    <row r="21" ht="31" customHeight="1" s="78">
      <c r="A21" s="6" t="n"/>
      <c r="B21" s="15" t="n"/>
      <c r="C21" s="15" t="n"/>
      <c r="D21" s="53" t="n"/>
      <c r="E21" s="10" t="n"/>
      <c r="F21" s="15" t="n"/>
      <c r="G21" s="15" t="n"/>
      <c r="H21" s="19" t="n"/>
      <c r="I21" s="20" t="n"/>
      <c r="J21" s="18" t="n"/>
      <c r="K21" s="20" t="n"/>
      <c r="L21" s="18" t="n"/>
    </row>
    <row r="22" ht="31" customHeight="1" s="78">
      <c r="A22" s="14" t="inlineStr">
        <is>
          <t>СЭНДВИЧИ</t>
        </is>
      </c>
      <c r="B22" s="15" t="n"/>
      <c r="C22" s="15" t="n"/>
      <c r="D22" s="53" t="n"/>
      <c r="E22" s="10" t="n"/>
      <c r="F22" s="15" t="n"/>
      <c r="G22" s="15" t="n"/>
      <c r="H22" s="19" t="n"/>
      <c r="I22" s="20" t="n"/>
      <c r="J22" s="18" t="n"/>
      <c r="K22" s="20" t="n"/>
      <c r="L22" s="18" t="n"/>
    </row>
    <row r="23" ht="31" customHeight="1" s="78">
      <c r="A23" s="6">
        <f>Касса!A44</f>
        <v/>
      </c>
      <c r="B23" s="3">
        <f>Касса!B44</f>
        <v/>
      </c>
      <c r="C23" s="15" t="n"/>
      <c r="D23" s="53" t="n"/>
      <c r="E23" s="10" t="n"/>
      <c r="F23" s="15" t="n"/>
      <c r="G23" s="15" t="n"/>
      <c r="H23" s="19" t="n"/>
      <c r="I23" s="20" t="n"/>
      <c r="J23" s="18" t="n"/>
      <c r="K23" s="20" t="n"/>
      <c r="L23" s="18" t="n"/>
    </row>
    <row r="24" ht="31" customHeight="1" s="78">
      <c r="A24" s="6">
        <f>Касса!A45</f>
        <v/>
      </c>
      <c r="B24" s="3">
        <f>Касса!B45</f>
        <v/>
      </c>
      <c r="C24" s="15" t="n"/>
      <c r="D24" s="53" t="n"/>
      <c r="E24" s="10" t="n"/>
      <c r="F24" s="15" t="n"/>
      <c r="G24" s="15" t="n"/>
      <c r="H24" s="19" t="n"/>
      <c r="I24" s="20" t="n"/>
      <c r="J24" s="18" t="n"/>
      <c r="K24" s="20" t="n"/>
      <c r="L24" s="18" t="n"/>
    </row>
    <row r="25" ht="31" customHeight="1" s="78">
      <c r="A25" s="6">
        <f>Касса!A46</f>
        <v/>
      </c>
      <c r="B25" s="3">
        <f>Касса!B46</f>
        <v/>
      </c>
      <c r="C25" s="15" t="n"/>
      <c r="D25" s="53" t="n"/>
      <c r="E25" s="53" t="n"/>
      <c r="F25" s="15" t="n"/>
      <c r="G25" s="15" t="n"/>
      <c r="H25" s="19" t="n"/>
      <c r="I25" s="20" t="n"/>
      <c r="J25" s="18" t="n"/>
      <c r="K25" s="20" t="n"/>
      <c r="L25" s="18" t="n"/>
    </row>
    <row r="26" ht="31" customHeight="1" s="78">
      <c r="A26" s="6">
        <f>Касса!A47</f>
        <v/>
      </c>
      <c r="B26" s="3">
        <f>Касса!B47</f>
        <v/>
      </c>
      <c r="C26" s="15" t="n"/>
      <c r="D26" s="53" t="n"/>
      <c r="E26" s="23" t="n"/>
      <c r="F26" s="15" t="n"/>
      <c r="G26" s="15" t="n"/>
      <c r="H26" s="19" t="n"/>
      <c r="I26" s="20" t="n"/>
      <c r="J26" s="18" t="n"/>
      <c r="K26" s="20" t="n"/>
      <c r="L26" s="18" t="n"/>
    </row>
    <row r="27" ht="15.5" customHeight="1" s="78">
      <c r="A27" s="63" t="n"/>
      <c r="B27" s="15" t="n"/>
      <c r="C27" s="15" t="n"/>
      <c r="D27" s="53" t="n"/>
      <c r="E27" s="10" t="n"/>
      <c r="F27" s="15" t="n"/>
      <c r="G27" s="54" t="n"/>
      <c r="H27" s="19" t="n"/>
      <c r="I27" s="20" t="n"/>
      <c r="J27" s="18" t="n"/>
      <c r="K27" s="20" t="n"/>
      <c r="L27" s="18" t="n"/>
    </row>
    <row r="28" ht="15.5" customHeight="1" s="78">
      <c r="A28" s="76" t="n"/>
      <c r="B28" s="28" t="n"/>
      <c r="C28" s="28" t="n"/>
      <c r="D28" s="28" t="n"/>
      <c r="E28" s="28" t="n"/>
      <c r="F28" s="28" t="n"/>
      <c r="G28" s="28" t="n"/>
      <c r="H28" s="19" t="n"/>
      <c r="I28" s="20" t="n"/>
      <c r="J28" s="18" t="n"/>
      <c r="K28" s="20" t="n"/>
      <c r="L28" s="18" t="n"/>
    </row>
    <row r="29" ht="15.5" customHeight="1" s="78">
      <c r="A29" s="28" t="n"/>
      <c r="B29" s="28" t="n"/>
      <c r="H29" s="19" t="n"/>
      <c r="I29" s="20" t="n"/>
      <c r="J29" s="18" t="n"/>
      <c r="K29" s="20" t="n"/>
      <c r="L29" s="18" t="n"/>
    </row>
    <row r="30" ht="15.5" customHeight="1" s="78">
      <c r="A30" s="28" t="n"/>
      <c r="H30" s="19" t="n"/>
      <c r="I30" s="20" t="n"/>
      <c r="J30" s="18" t="n"/>
      <c r="K30" s="20" t="n"/>
      <c r="L30" s="18" t="n"/>
    </row>
    <row r="31" ht="15.5" customHeight="1" s="78">
      <c r="A31" s="28" t="n"/>
      <c r="H31" s="19" t="n"/>
      <c r="I31" s="20" t="n"/>
      <c r="J31" s="18" t="n"/>
      <c r="K31" s="20" t="n"/>
      <c r="L31" s="18" t="n"/>
    </row>
    <row r="32" ht="15.5" customHeight="1" s="78">
      <c r="H32" s="19" t="n"/>
      <c r="I32" s="20" t="n"/>
      <c r="J32" s="18" t="n"/>
      <c r="K32" s="20" t="n"/>
      <c r="L32" s="18" t="n"/>
    </row>
    <row r="33" ht="15.5" customHeight="1" s="78">
      <c r="H33" s="19" t="n"/>
      <c r="I33" s="20" t="n"/>
      <c r="J33" s="18" t="n"/>
      <c r="K33" s="20" t="n"/>
      <c r="L33" s="18" t="n"/>
    </row>
    <row r="34" ht="15.5" customHeight="1" s="78">
      <c r="H34" s="19" t="n"/>
      <c r="I34" s="20" t="n"/>
      <c r="J34" s="18" t="n"/>
      <c r="K34" s="20" t="n"/>
      <c r="L34" s="18" t="n"/>
    </row>
    <row r="35" ht="15.5" customHeight="1" s="78">
      <c r="H35" s="19" t="n"/>
      <c r="I35" s="20" t="n"/>
      <c r="J35" s="18" t="n"/>
      <c r="K35" s="20" t="n"/>
      <c r="L35" s="18" t="n"/>
    </row>
    <row r="36" ht="15.5" customHeight="1" s="78">
      <c r="H36" s="19" t="n"/>
      <c r="I36" s="20" t="n"/>
      <c r="J36" s="18" t="n"/>
      <c r="K36" s="20" t="n"/>
      <c r="L36" s="18" t="n"/>
    </row>
    <row r="37" ht="15.5" customHeight="1" s="78">
      <c r="H37" s="19" t="n"/>
      <c r="I37" s="20" t="n"/>
      <c r="J37" s="18" t="n"/>
      <c r="K37" s="20" t="n"/>
      <c r="L37" s="18" t="n"/>
    </row>
    <row r="38" ht="15.5" customHeight="1" s="78">
      <c r="H38" s="19" t="n"/>
      <c r="I38" s="20" t="n"/>
      <c r="J38" s="18" t="n"/>
      <c r="K38" s="20" t="n"/>
      <c r="L38" s="18" t="n"/>
    </row>
    <row r="39" ht="15.5" customHeight="1" s="78">
      <c r="H39" s="4" t="n"/>
      <c r="I39" s="19" t="n"/>
      <c r="J39" s="18" t="n"/>
      <c r="K39" s="20" t="n"/>
      <c r="L39" s="18" t="n"/>
    </row>
    <row r="40" ht="15.5" customHeight="1" s="78">
      <c r="H40" s="4" t="n"/>
      <c r="I40" s="19" t="n"/>
      <c r="J40" s="18" t="n"/>
      <c r="K40" s="20" t="n"/>
      <c r="L40" s="18" t="n"/>
    </row>
    <row r="41" ht="16.5" customHeight="1" s="78">
      <c r="H41" s="1" t="n"/>
      <c r="I41" s="19" t="n"/>
      <c r="J41" s="18" t="n"/>
      <c r="K41" s="20" t="n"/>
      <c r="L41" s="18" t="n"/>
    </row>
    <row r="42" ht="16.5" customHeight="1" s="78">
      <c r="H42" s="4" t="n"/>
      <c r="I42" s="19" t="n"/>
      <c r="J42" s="18" t="n"/>
      <c r="K42" s="20" t="n"/>
      <c r="L42" s="18" t="n"/>
    </row>
    <row r="43" ht="16.5" customHeight="1" s="78">
      <c r="I43" s="19" t="n"/>
      <c r="J43" s="18" t="n"/>
      <c r="K43" s="20" t="n"/>
      <c r="L43" s="18" t="n"/>
    </row>
    <row r="44" ht="14.25" customHeight="1" s="78">
      <c r="H44" s="5" t="n"/>
      <c r="I44" s="19" t="n"/>
      <c r="J44" s="18" t="n"/>
      <c r="K44" s="20" t="n"/>
      <c r="L44" s="18" t="n"/>
    </row>
    <row r="45" ht="15.5" customHeight="1" s="78">
      <c r="H45" s="1" t="n"/>
      <c r="I45" s="19" t="n"/>
      <c r="J45" s="18" t="n"/>
      <c r="K45" s="20" t="n"/>
      <c r="L45" s="18" t="n"/>
    </row>
    <row r="46" ht="15.5" customHeight="1" s="78">
      <c r="H46" s="1" t="n"/>
      <c r="I46" s="19" t="n"/>
      <c r="J46" s="18" t="n"/>
      <c r="K46" s="20" t="n"/>
      <c r="L46" s="18" t="n"/>
    </row>
    <row r="47" ht="16.5" customHeight="1" s="78">
      <c r="H47" s="1" t="n"/>
      <c r="I47" s="19" t="n"/>
      <c r="J47" s="18" t="n"/>
      <c r="K47" s="20" t="n"/>
      <c r="L47" s="18" t="n"/>
    </row>
    <row r="48" ht="15.75" customHeight="1" s="78">
      <c r="H48" s="1" t="n"/>
      <c r="I48" s="19" t="n"/>
      <c r="J48" s="18" t="n"/>
      <c r="K48" s="20" t="n"/>
      <c r="L48" s="18" t="n"/>
    </row>
    <row r="49" ht="15.75" customHeight="1" s="78">
      <c r="H49" s="5" t="n"/>
      <c r="I49" s="19" t="n"/>
      <c r="J49" s="18" t="n"/>
      <c r="K49" s="20" t="n"/>
      <c r="L49" s="18" t="n"/>
    </row>
    <row r="50" ht="15.5" customHeight="1" s="78">
      <c r="H50" s="1" t="n"/>
      <c r="I50" s="19" t="n"/>
      <c r="J50" s="18" t="n"/>
      <c r="K50" s="20" t="n"/>
      <c r="L50" s="18" t="n"/>
    </row>
    <row r="51" ht="15.5" customHeight="1" s="78">
      <c r="H51" s="1" t="n"/>
      <c r="I51" s="19" t="n"/>
      <c r="J51" s="18" t="n"/>
      <c r="K51" s="20" t="n"/>
      <c r="L51" s="18" t="n"/>
    </row>
    <row r="52" ht="18" customHeight="1" s="78">
      <c r="H52" s="1" t="n"/>
      <c r="I52" s="19" t="n"/>
      <c r="J52" s="18" t="n"/>
      <c r="K52" s="20" t="n"/>
      <c r="L52" s="18" t="n"/>
    </row>
    <row r="53" ht="15.5" customHeight="1" s="78">
      <c r="H53" s="1" t="n"/>
      <c r="I53" s="19" t="n"/>
      <c r="J53" s="18" t="n"/>
      <c r="K53" s="20" t="n"/>
      <c r="L53" s="18" t="n"/>
    </row>
    <row r="54" ht="15.5" customHeight="1" s="78">
      <c r="H54" s="1" t="n"/>
      <c r="I54" s="19" t="n"/>
      <c r="J54" s="18" t="n"/>
      <c r="K54" s="18" t="n"/>
      <c r="L54" s="18" t="n"/>
    </row>
    <row r="55" ht="18" customHeight="1" s="78">
      <c r="H55" s="1" t="n"/>
      <c r="I55" s="19" t="n"/>
      <c r="J55" s="18" t="n"/>
      <c r="K55" s="18" t="n"/>
      <c r="L55" s="18" t="n"/>
    </row>
    <row r="56" ht="18.75" customHeight="1" s="78">
      <c r="H56" s="1" t="n"/>
      <c r="I56" s="19" t="n"/>
      <c r="J56" s="18" t="n"/>
      <c r="K56" s="18" t="n"/>
      <c r="L56" s="18" t="n"/>
    </row>
    <row r="57" ht="15.5" customHeight="1" s="78">
      <c r="H57" s="1" t="n"/>
      <c r="I57" s="19" t="n"/>
      <c r="J57" s="18" t="n"/>
      <c r="K57" s="18" t="n"/>
      <c r="L57" s="18" t="n"/>
    </row>
    <row r="58" ht="15.5" customHeight="1" s="78">
      <c r="H58" s="1" t="n"/>
      <c r="I58" s="19" t="n"/>
      <c r="J58" s="18" t="n"/>
      <c r="K58" s="18" t="n"/>
      <c r="L58" s="18" t="n"/>
    </row>
    <row r="59" ht="15.5" customHeight="1" s="78">
      <c r="H59" s="1" t="n"/>
      <c r="I59" s="19" t="n"/>
      <c r="J59" s="18" t="n"/>
      <c r="K59" s="18" t="n"/>
      <c r="L59" s="18" t="n"/>
    </row>
    <row r="60" ht="18" customHeight="1" s="78">
      <c r="H60" s="1" t="n"/>
      <c r="I60" s="19" t="n"/>
      <c r="J60" s="18" t="n"/>
      <c r="K60" s="18" t="n"/>
      <c r="L60" s="18" t="n"/>
    </row>
    <row r="61" hidden="1" ht="15.5" customHeight="1" s="78">
      <c r="H61" s="1" t="n"/>
      <c r="I61" s="18" t="n"/>
      <c r="J61" s="18" t="n"/>
      <c r="K61" s="18" t="n"/>
      <c r="L61" s="18" t="n"/>
    </row>
    <row r="62" hidden="1" ht="15.5" customHeight="1" s="78">
      <c r="H62" s="1" t="n"/>
      <c r="I62" s="18" t="n"/>
      <c r="J62" s="18" t="n"/>
      <c r="K62" s="18" t="n"/>
      <c r="L62" s="18" t="n"/>
    </row>
    <row r="63" ht="27" customHeight="1" s="78">
      <c r="I63" s="18" t="n"/>
      <c r="J63" s="18" t="n"/>
      <c r="K63" s="18" t="n"/>
      <c r="L63" s="18" t="n"/>
    </row>
    <row r="64" ht="12.75" customHeight="1" s="78">
      <c r="I64" s="18" t="n"/>
      <c r="J64" s="18" t="n"/>
      <c r="K64" s="18" t="n"/>
      <c r="L64" s="18" t="n"/>
    </row>
    <row r="65" ht="23.25" customHeight="1" s="78">
      <c r="I65" s="18" t="n"/>
      <c r="J65" s="18" t="n"/>
      <c r="K65" s="18" t="n"/>
      <c r="L65" s="18" t="n"/>
    </row>
    <row r="66" ht="15.5" customHeight="1" s="78">
      <c r="I66" s="18" t="n"/>
      <c r="J66" s="18" t="n"/>
      <c r="K66" s="18" t="n"/>
      <c r="L66" s="18" t="n"/>
    </row>
    <row r="67" ht="4.5" customHeight="1" s="78"/>
  </sheetData>
  <mergeCells count="5">
    <mergeCell ref="E2:G2"/>
    <mergeCell ref="B2:C2"/>
    <mergeCell ref="B3:C3"/>
    <mergeCell ref="E3:G3"/>
    <mergeCell ref="A5:G5"/>
  </mergeCells>
  <pageMargins left="0.03937007874015748" right="0.03937007874015748" top="0" bottom="0" header="0.1181102362204725" footer="0.1181102362204725"/>
  <pageSetup orientation="portrait" paperSize="9" scale="75" firstPageNumber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6"/>
  <sheetViews>
    <sheetView zoomScaleNormal="100" zoomScaleSheetLayoutView="100" workbookViewId="0">
      <selection activeCell="L9" sqref="L9"/>
    </sheetView>
  </sheetViews>
  <sheetFormatPr baseColWidth="8" defaultRowHeight="12.5"/>
  <cols>
    <col width="41.7265625" customWidth="1" style="78" min="1" max="1"/>
    <col width="12.54296875" customWidth="1" style="78" min="2" max="2"/>
    <col width="11.1796875" customWidth="1" style="78" min="3" max="3"/>
    <col hidden="1" width="4.7265625" customWidth="1" style="78" min="4" max="4"/>
    <col width="47.7265625" customWidth="1" style="78" min="5" max="5"/>
    <col width="12.453125" customWidth="1" style="78" min="6" max="6"/>
    <col width="11.7265625" customWidth="1" style="78" min="7" max="7"/>
    <col width="6.54296875" customWidth="1" style="78" min="8" max="9"/>
    <col width="5.453125" customWidth="1" style="78" min="10" max="10"/>
  </cols>
  <sheetData>
    <row r="1" ht="13" customHeight="1" s="78">
      <c r="A1" s="1" t="n"/>
      <c r="B1" s="1" t="n"/>
      <c r="C1" s="1" t="n"/>
      <c r="D1" s="1" t="n"/>
      <c r="E1" s="1" t="n"/>
      <c r="F1" s="1" t="n"/>
      <c r="G1" s="1" t="n"/>
      <c r="H1" s="1" t="n"/>
    </row>
    <row r="2" ht="13" customHeight="1" s="78">
      <c r="A2" s="1" t="n"/>
      <c r="B2" s="79">
        <f>Касса!B2</f>
        <v/>
      </c>
      <c r="D2" s="1" t="n"/>
      <c r="E2" s="77" t="inlineStr">
        <is>
          <t xml:space="preserve">Утверждаю </t>
        </is>
      </c>
      <c r="H2" s="1" t="n"/>
    </row>
    <row r="3" ht="15.5" customHeight="1" s="78">
      <c r="A3" s="1" t="n"/>
      <c r="B3" s="80">
        <f>Касса!B3</f>
        <v/>
      </c>
      <c r="D3" s="1" t="n"/>
      <c r="E3" s="77" t="inlineStr">
        <is>
          <t>Директор  ООО «Патриот-Москва»</t>
        </is>
      </c>
      <c r="H3" s="1" t="n"/>
    </row>
    <row r="4" ht="13" customHeight="1" s="78">
      <c r="A4" s="1" t="n"/>
      <c r="B4" s="1" t="inlineStr">
        <is>
          <t>МЕНЮ СТОЛОВОЙ "ПАТРИОТ"</t>
        </is>
      </c>
      <c r="C4" s="1" t="n"/>
      <c r="D4" s="1" t="n"/>
      <c r="E4" s="1" t="n"/>
      <c r="F4" s="77" t="n"/>
      <c r="G4" s="77" t="inlineStr">
        <is>
          <t>_____________  Попова О.И.</t>
        </is>
      </c>
      <c r="H4" s="1" t="n"/>
    </row>
    <row r="5" ht="15.5" customHeight="1" s="78">
      <c r="A5" s="81" t="inlineStr">
        <is>
          <t>г. Москва,ул. Овчинниковская наб.,д.18/1 стр.2</t>
        </is>
      </c>
      <c r="H5" s="1" t="n"/>
      <c r="I5" s="18" t="n"/>
      <c r="J5" s="18" t="n"/>
      <c r="K5" s="20" t="n"/>
      <c r="L5" s="18" t="n"/>
    </row>
    <row r="6" ht="25.5" customHeight="1" s="78">
      <c r="A6" s="7" t="inlineStr">
        <is>
          <t>ЗАВТРАКИ</t>
        </is>
      </c>
      <c r="B6" s="22" t="inlineStr">
        <is>
          <t>Питание</t>
        </is>
      </c>
      <c r="C6" s="22" t="inlineStr">
        <is>
          <t>Остатки</t>
        </is>
      </c>
      <c r="D6" s="8" t="n"/>
      <c r="E6" s="7" t="inlineStr">
        <is>
          <t>ПЕРВЫЕ БЛЮДА</t>
        </is>
      </c>
      <c r="F6" s="22" t="inlineStr">
        <is>
          <t>Питание</t>
        </is>
      </c>
      <c r="G6" s="22" t="inlineStr">
        <is>
          <t>Остатки</t>
        </is>
      </c>
      <c r="H6" s="21" t="n"/>
      <c r="I6" s="19" t="n"/>
      <c r="J6" s="18" t="n"/>
      <c r="K6" s="20" t="n"/>
      <c r="L6" s="18" t="n"/>
    </row>
    <row r="7" ht="15.5" customHeight="1" s="78">
      <c r="A7" s="6">
        <f>Касса!A7</f>
        <v/>
      </c>
      <c r="B7" s="3" t="n"/>
      <c r="C7" s="3" t="n"/>
      <c r="D7" s="11" t="n"/>
      <c r="E7" s="6">
        <f>Касса!E7</f>
        <v/>
      </c>
      <c r="F7" s="3" t="n"/>
      <c r="G7" s="9" t="n"/>
      <c r="H7" s="4" t="n"/>
      <c r="I7" s="19" t="n"/>
      <c r="J7" s="18" t="n"/>
      <c r="K7" s="20" t="n"/>
      <c r="L7" s="18" t="n"/>
    </row>
    <row r="8" ht="15.5" customHeight="1" s="78">
      <c r="A8" s="6">
        <f>Касса!A8</f>
        <v/>
      </c>
      <c r="B8" s="3" t="n"/>
      <c r="C8" s="3" t="n"/>
      <c r="D8" s="11" t="n"/>
      <c r="E8" s="6">
        <f>Касса!E8</f>
        <v/>
      </c>
      <c r="F8" s="3" t="n"/>
      <c r="G8" s="3" t="n"/>
      <c r="H8" s="4" t="n"/>
      <c r="I8" s="19" t="n"/>
      <c r="J8" s="18" t="n"/>
      <c r="K8" s="20" t="n"/>
      <c r="L8" s="18" t="n"/>
    </row>
    <row r="9" ht="15.5" customHeight="1" s="78">
      <c r="A9" s="6">
        <f>Касса!A9</f>
        <v/>
      </c>
      <c r="B9" s="3" t="n"/>
      <c r="C9" s="3" t="n"/>
      <c r="D9" s="11" t="n"/>
      <c r="E9" s="6">
        <f>Касса!E9</f>
        <v/>
      </c>
      <c r="F9" s="3" t="n"/>
      <c r="G9" s="3" t="n"/>
      <c r="H9" s="4" t="n"/>
      <c r="I9" s="19" t="n"/>
      <c r="J9" s="18" t="n"/>
      <c r="K9" s="20" t="n"/>
      <c r="L9" s="18" t="n"/>
    </row>
    <row r="10" ht="15.5" customHeight="1" s="78">
      <c r="A10" s="6">
        <f>Касса!A10</f>
        <v/>
      </c>
      <c r="B10" s="3" t="n"/>
      <c r="C10" s="3" t="n"/>
      <c r="D10" s="11" t="n"/>
      <c r="E10" s="6">
        <f>Касса!E10</f>
        <v/>
      </c>
      <c r="F10" s="3" t="n"/>
      <c r="G10" s="3" t="n"/>
      <c r="H10" s="4" t="n"/>
      <c r="I10" s="19" t="n"/>
      <c r="J10" s="18" t="n"/>
      <c r="K10" s="20" t="n"/>
      <c r="L10" s="18" t="n"/>
    </row>
    <row r="11" ht="15.5" customHeight="1" s="78">
      <c r="A11" s="6">
        <f>Касса!A11</f>
        <v/>
      </c>
      <c r="B11" s="3" t="n"/>
      <c r="C11" s="3" t="n"/>
      <c r="D11" s="11" t="n"/>
      <c r="E11" s="14" t="inlineStr">
        <is>
          <t>БЛЮДА ИЗ МЯСА</t>
        </is>
      </c>
      <c r="F11" s="11" t="n"/>
      <c r="G11" s="11" t="n"/>
      <c r="H11" s="4" t="n"/>
      <c r="I11" s="19" t="n"/>
      <c r="J11" s="18" t="n"/>
      <c r="K11" s="20" t="n"/>
      <c r="L11" s="18" t="n"/>
    </row>
    <row r="12" ht="15.5" customHeight="1" s="78">
      <c r="A12" s="6">
        <f>Касса!A12</f>
        <v/>
      </c>
      <c r="B12" s="3" t="n"/>
      <c r="C12" s="3" t="n"/>
      <c r="D12" s="11" t="n"/>
      <c r="E12" s="6">
        <f>Касса!E12</f>
        <v/>
      </c>
      <c r="F12" s="3" t="n"/>
      <c r="G12" s="3" t="n"/>
      <c r="H12" s="4" t="n"/>
      <c r="I12" s="19" t="n"/>
      <c r="J12" s="18" t="n"/>
      <c r="K12" s="20" t="n"/>
      <c r="L12" s="18" t="n"/>
    </row>
    <row r="13" ht="15.5" customHeight="1" s="78">
      <c r="A13" s="6">
        <f>Касса!A13</f>
        <v/>
      </c>
      <c r="B13" s="3" t="n"/>
      <c r="C13" s="3" t="n"/>
      <c r="D13" s="11" t="n"/>
      <c r="E13" s="6">
        <f>Касса!E13</f>
        <v/>
      </c>
      <c r="F13" s="3" t="n"/>
      <c r="G13" s="3" t="n"/>
      <c r="H13" s="1" t="n"/>
      <c r="I13" s="19" t="n"/>
      <c r="J13" s="18" t="n"/>
      <c r="K13" s="20" t="n"/>
      <c r="L13" s="18" t="n"/>
    </row>
    <row r="14" ht="15.5" customHeight="1" s="78">
      <c r="A14" s="6">
        <f>Касса!A14</f>
        <v/>
      </c>
      <c r="B14" s="13" t="n"/>
      <c r="C14" s="13" t="n"/>
      <c r="D14" s="11" t="n"/>
      <c r="E14" s="6">
        <f>Касса!E14</f>
        <v/>
      </c>
      <c r="F14" s="3" t="n"/>
      <c r="G14" s="3" t="n"/>
      <c r="H14" s="4" t="n"/>
      <c r="I14" s="19" t="n"/>
      <c r="J14" s="18" t="n"/>
      <c r="K14" s="20" t="n"/>
      <c r="L14" s="18" t="n"/>
    </row>
    <row r="15" ht="15.5" customHeight="1" s="78">
      <c r="A15" s="6">
        <f>Касса!A15</f>
        <v/>
      </c>
      <c r="B15" s="3" t="n"/>
      <c r="C15" s="3" t="n"/>
      <c r="D15" s="11" t="n"/>
      <c r="E15" s="6">
        <f>Касса!E15</f>
        <v/>
      </c>
      <c r="F15" s="3" t="n"/>
      <c r="G15" s="3" t="n"/>
      <c r="H15" s="4" t="n"/>
      <c r="I15" s="19" t="n"/>
      <c r="J15" s="18" t="n"/>
      <c r="K15" s="20" t="n"/>
      <c r="L15" s="18" t="n"/>
    </row>
    <row r="16" ht="15.5" customHeight="1" s="78">
      <c r="A16" s="6">
        <f>Касса!A16</f>
        <v/>
      </c>
      <c r="B16" s="13" t="n"/>
      <c r="C16" s="13" t="n"/>
      <c r="D16" s="11" t="n"/>
      <c r="E16" s="6">
        <f>Касса!E16</f>
        <v/>
      </c>
      <c r="F16" s="3" t="n"/>
      <c r="G16" s="3" t="n"/>
      <c r="H16" s="19" t="n"/>
      <c r="I16" s="19" t="n"/>
      <c r="J16" s="18" t="n"/>
      <c r="K16" s="20" t="n"/>
      <c r="L16" s="18" t="n"/>
    </row>
    <row r="17" ht="15.5" customHeight="1" s="78">
      <c r="A17" s="6">
        <f>Касса!A17</f>
        <v/>
      </c>
      <c r="B17" s="3" t="n"/>
      <c r="C17" s="3" t="n"/>
      <c r="D17" s="11" t="n"/>
      <c r="E17" s="6">
        <f>Касса!E17</f>
        <v/>
      </c>
      <c r="F17" s="3" t="n"/>
      <c r="G17" s="3" t="n"/>
      <c r="H17" s="19" t="n"/>
      <c r="I17" s="19" t="n"/>
      <c r="J17" s="18" t="n"/>
      <c r="K17" s="20" t="n"/>
      <c r="L17" s="18" t="n"/>
    </row>
    <row r="18" ht="15.5" customHeight="1" s="78">
      <c r="A18" s="6">
        <f>Касса!A18</f>
        <v/>
      </c>
      <c r="B18" s="3" t="n"/>
      <c r="C18" s="3" t="n"/>
      <c r="D18" s="11" t="n"/>
      <c r="E18" s="14" t="inlineStr">
        <is>
          <t>БЛЮДА ИЗ ПТИЦЫ</t>
        </is>
      </c>
      <c r="F18" s="11" t="n"/>
      <c r="G18" s="11" t="n"/>
      <c r="H18" s="19" t="n"/>
      <c r="I18" s="19" t="n"/>
      <c r="J18" s="18" t="n"/>
      <c r="K18" s="20" t="n"/>
      <c r="L18" s="18" t="n"/>
    </row>
    <row r="19" ht="15.5" customHeight="1" s="78">
      <c r="A19" s="6">
        <f>Касса!A19</f>
        <v/>
      </c>
      <c r="B19" s="3" t="n"/>
      <c r="C19" s="3" t="n"/>
      <c r="D19" s="17" t="n"/>
      <c r="E19" s="10">
        <f>Касса!E19</f>
        <v/>
      </c>
      <c r="F19" s="3" t="n"/>
      <c r="G19" s="3" t="n"/>
      <c r="H19" s="19" t="n"/>
      <c r="I19" s="19" t="n"/>
      <c r="J19" s="18" t="n"/>
      <c r="K19" s="20" t="n"/>
      <c r="L19" s="18" t="n"/>
    </row>
    <row r="20" ht="15.5" customHeight="1" s="78">
      <c r="A20" s="6">
        <f>Касса!A20</f>
        <v/>
      </c>
      <c r="B20" s="3" t="n"/>
      <c r="C20" s="3" t="n"/>
      <c r="D20" s="11" t="n"/>
      <c r="E20" s="10">
        <f>Касса!E20</f>
        <v/>
      </c>
      <c r="F20" s="3" t="n"/>
      <c r="G20" s="3" t="n"/>
      <c r="H20" s="19" t="n"/>
      <c r="I20" s="19" t="n"/>
      <c r="J20" s="18" t="n"/>
      <c r="K20" s="20" t="n"/>
      <c r="L20" s="18" t="n"/>
    </row>
    <row r="21" ht="15.5" customHeight="1" s="78">
      <c r="A21" s="6">
        <f>Касса!A21</f>
        <v/>
      </c>
      <c r="B21" s="3" t="n"/>
      <c r="C21" s="3" t="n"/>
      <c r="D21" s="11" t="n"/>
      <c r="E21" s="10">
        <f>Касса!E21</f>
        <v/>
      </c>
      <c r="F21" s="3" t="n"/>
      <c r="G21" s="3" t="n"/>
      <c r="H21" s="19" t="n"/>
      <c r="I21" s="20" t="n"/>
      <c r="J21" s="18" t="n"/>
      <c r="K21" s="20" t="n"/>
      <c r="L21" s="18" t="n"/>
    </row>
    <row r="22" ht="15.5" customHeight="1" s="78">
      <c r="A22" s="6">
        <f>Касса!A22</f>
        <v/>
      </c>
      <c r="B22" s="3" t="n"/>
      <c r="C22" s="3" t="n"/>
      <c r="D22" s="11" t="n"/>
      <c r="E22" s="10">
        <f>Касса!E22</f>
        <v/>
      </c>
      <c r="F22" s="3" t="n"/>
      <c r="G22" s="3" t="n"/>
      <c r="H22" s="19" t="n"/>
      <c r="I22" s="20" t="n"/>
      <c r="J22" s="18" t="n"/>
      <c r="K22" s="20" t="n"/>
      <c r="L22" s="18" t="n"/>
    </row>
    <row r="23" ht="15.5" customHeight="1" s="78">
      <c r="A23" s="6">
        <f>Касса!A23</f>
        <v/>
      </c>
      <c r="B23" s="3" t="n"/>
      <c r="C23" s="3" t="n"/>
      <c r="D23" s="11" t="n"/>
      <c r="E23" s="10">
        <f>Касса!E23</f>
        <v/>
      </c>
      <c r="F23" s="3" t="n"/>
      <c r="G23" s="3" t="n"/>
      <c r="H23" s="19" t="n"/>
      <c r="I23" s="20" t="n"/>
      <c r="J23" s="18" t="n"/>
      <c r="K23" s="20" t="n"/>
      <c r="L23" s="18" t="n"/>
    </row>
    <row r="24" ht="15.5" customHeight="1" s="78">
      <c r="A24" s="6">
        <f>Касса!A24</f>
        <v/>
      </c>
      <c r="B24" s="3" t="n"/>
      <c r="C24" s="3" t="n"/>
      <c r="D24" s="11" t="n"/>
      <c r="E24" s="10">
        <f>Касса!E24</f>
        <v/>
      </c>
      <c r="F24" s="3" t="n"/>
      <c r="G24" s="3" t="n"/>
      <c r="H24" s="19" t="n"/>
      <c r="I24" s="20" t="n"/>
      <c r="J24" s="18" t="n"/>
      <c r="K24" s="20" t="n"/>
      <c r="L24" s="18" t="n"/>
    </row>
    <row r="25" ht="15.5" customHeight="1" s="78">
      <c r="A25" s="6">
        <f>Касса!A25</f>
        <v/>
      </c>
      <c r="B25" s="3" t="n"/>
      <c r="C25" s="3" t="n"/>
      <c r="D25" s="11" t="n"/>
      <c r="E25" s="14" t="inlineStr">
        <is>
          <t>БЛЮДА ИЗ РЫБЫ</t>
        </is>
      </c>
      <c r="F25" s="3" t="n"/>
      <c r="G25" s="15" t="n"/>
      <c r="H25" s="19" t="n"/>
      <c r="I25" s="20" t="n"/>
      <c r="J25" s="18" t="n"/>
      <c r="K25" s="20" t="n"/>
      <c r="L25" s="18" t="n"/>
    </row>
    <row r="26" ht="15.5" customHeight="1" s="78">
      <c r="A26" s="6">
        <f>Касса!A26</f>
        <v/>
      </c>
      <c r="B26" s="3" t="n"/>
      <c r="C26" s="3" t="n"/>
      <c r="D26" s="11" t="n"/>
      <c r="E26" s="16">
        <f>Касса!E26</f>
        <v/>
      </c>
      <c r="F26" s="3" t="n"/>
      <c r="G26" s="3" t="n"/>
      <c r="H26" s="19" t="n"/>
      <c r="I26" s="20" t="n"/>
      <c r="J26" s="18" t="n"/>
      <c r="K26" s="20" t="n"/>
      <c r="L26" s="18" t="n"/>
    </row>
    <row r="27" ht="15.5" customHeight="1" s="78">
      <c r="A27" s="6">
        <f>Касса!A27</f>
        <v/>
      </c>
      <c r="B27" s="3" t="n"/>
      <c r="C27" s="3" t="n"/>
      <c r="D27" s="11" t="n"/>
      <c r="E27" s="16">
        <f>Касса!E27</f>
        <v/>
      </c>
      <c r="F27" s="3" t="n"/>
      <c r="G27" s="9" t="n"/>
      <c r="H27" s="19" t="n"/>
      <c r="I27" s="20" t="n"/>
      <c r="J27" s="18" t="n"/>
      <c r="K27" s="20" t="n"/>
      <c r="L27" s="18" t="n"/>
    </row>
    <row r="28" ht="15.5" customHeight="1" s="78">
      <c r="A28" s="6">
        <f>Касса!A28</f>
        <v/>
      </c>
      <c r="B28" s="3" t="n"/>
      <c r="C28" s="3" t="n"/>
      <c r="D28" s="11" t="n"/>
      <c r="E28" s="16">
        <f>Касса!E28</f>
        <v/>
      </c>
      <c r="F28" s="3" t="n"/>
      <c r="G28" s="3" t="n"/>
      <c r="H28" s="19" t="n"/>
      <c r="I28" s="20" t="n"/>
      <c r="J28" s="18" t="n"/>
      <c r="K28" s="20" t="n"/>
      <c r="L28" s="18" t="n"/>
    </row>
    <row r="29" ht="15.5" customHeight="1" s="78">
      <c r="A29" s="6">
        <f>Касса!A29</f>
        <v/>
      </c>
      <c r="B29" s="3" t="n"/>
      <c r="C29" s="3" t="n"/>
      <c r="D29" s="11" t="n"/>
      <c r="E29" s="16">
        <f>Касса!E29</f>
        <v/>
      </c>
      <c r="F29" s="3" t="n"/>
      <c r="G29" s="9" t="n"/>
      <c r="H29" s="19" t="n"/>
      <c r="I29" s="20" t="n"/>
      <c r="J29" s="18" t="n"/>
      <c r="K29" s="20" t="n"/>
      <c r="L29" s="18" t="n"/>
    </row>
    <row r="30" ht="15.5" customHeight="1" s="78">
      <c r="A30" s="7" t="inlineStr">
        <is>
          <t>САЛАТЫ и ХОЛОДНЫЕ ЗАКУСКИ</t>
        </is>
      </c>
      <c r="B30" s="11" t="n"/>
      <c r="C30" s="11" t="n"/>
      <c r="D30" s="11" t="n"/>
      <c r="E30" s="14" t="inlineStr">
        <is>
          <t>ГАРНИРЫ</t>
        </is>
      </c>
      <c r="F30" s="11" t="n"/>
      <c r="G30" s="11" t="n"/>
      <c r="H30" s="19" t="n"/>
      <c r="I30" s="20" t="n"/>
      <c r="J30" s="18" t="n"/>
      <c r="K30" s="20" t="n"/>
      <c r="L30" s="18" t="n"/>
    </row>
    <row r="31" ht="15.5" customHeight="1" s="78">
      <c r="A31" s="6">
        <f>Касса!A31</f>
        <v/>
      </c>
      <c r="B31" s="3" t="n"/>
      <c r="C31" s="9" t="n"/>
      <c r="D31" s="11" t="n"/>
      <c r="E31" s="6">
        <f>Касса!E31</f>
        <v/>
      </c>
      <c r="F31" s="3" t="n"/>
      <c r="G31" s="3" t="n"/>
      <c r="H31" s="19" t="n"/>
      <c r="I31" s="20" t="n"/>
      <c r="J31" s="18" t="n"/>
      <c r="K31" s="20" t="n"/>
      <c r="L31" s="18" t="n"/>
    </row>
    <row r="32" ht="15.5" customHeight="1" s="78">
      <c r="A32" s="6">
        <f>Касса!A32</f>
        <v/>
      </c>
      <c r="B32" s="3" t="n"/>
      <c r="C32" s="9" t="n"/>
      <c r="D32" s="11" t="n"/>
      <c r="E32" s="6">
        <f>Касса!E32</f>
        <v/>
      </c>
      <c r="F32" s="3" t="n"/>
      <c r="G32" s="9" t="n"/>
      <c r="H32" s="19" t="n"/>
      <c r="I32" s="20" t="n"/>
      <c r="J32" s="18" t="n"/>
      <c r="K32" s="20" t="n"/>
      <c r="L32" s="18" t="n"/>
    </row>
    <row r="33" ht="15.5" customHeight="1" s="78">
      <c r="A33" s="6">
        <f>Касса!A33</f>
        <v/>
      </c>
      <c r="B33" s="3" t="n"/>
      <c r="C33" s="9" t="n"/>
      <c r="D33" s="11" t="n"/>
      <c r="E33" s="6">
        <f>Касса!E33</f>
        <v/>
      </c>
      <c r="F33" s="3" t="n"/>
      <c r="G33" s="9" t="n"/>
      <c r="H33" s="19" t="n"/>
      <c r="I33" s="20" t="n"/>
      <c r="J33" s="18" t="n"/>
      <c r="K33" s="20" t="n"/>
      <c r="L33" s="18" t="n"/>
    </row>
    <row r="34" ht="15.5" customHeight="1" s="78">
      <c r="A34" s="6">
        <f>Касса!A34</f>
        <v/>
      </c>
      <c r="B34" s="3" t="n"/>
      <c r="C34" s="9" t="n"/>
      <c r="D34" s="11" t="n"/>
      <c r="E34" s="6">
        <f>Касса!E34</f>
        <v/>
      </c>
      <c r="F34" s="3" t="n"/>
      <c r="G34" s="9" t="n"/>
      <c r="H34" s="19" t="n"/>
      <c r="I34" s="20" t="n"/>
      <c r="J34" s="18" t="n"/>
      <c r="K34" s="20" t="n"/>
      <c r="L34" s="18" t="n"/>
    </row>
    <row r="35" ht="15.5" customHeight="1" s="78">
      <c r="A35" s="6">
        <f>Касса!A35</f>
        <v/>
      </c>
      <c r="B35" s="3" t="n"/>
      <c r="C35" s="9" t="n"/>
      <c r="D35" s="11" t="n"/>
      <c r="E35" s="6">
        <f>Касса!E35</f>
        <v/>
      </c>
      <c r="F35" s="3" t="n"/>
      <c r="G35" s="9" t="n"/>
      <c r="H35" s="19" t="n"/>
      <c r="I35" s="20" t="n"/>
      <c r="J35" s="18" t="n"/>
      <c r="K35" s="20" t="n"/>
      <c r="L35" s="18" t="n"/>
    </row>
    <row r="36" ht="15.5" customHeight="1" s="78">
      <c r="A36" s="6">
        <f>Касса!A36</f>
        <v/>
      </c>
      <c r="B36" s="3" t="n"/>
      <c r="C36" s="9" t="n"/>
      <c r="D36" s="11" t="n"/>
      <c r="E36" s="6">
        <f>Касса!E36</f>
        <v/>
      </c>
      <c r="F36" s="3" t="n"/>
      <c r="G36" s="9" t="n"/>
      <c r="H36" s="19" t="n"/>
      <c r="I36" s="20" t="n"/>
      <c r="J36" s="18" t="n"/>
      <c r="K36" s="20" t="n"/>
      <c r="L36" s="18" t="n"/>
    </row>
    <row r="37" ht="15.5" customHeight="1" s="78">
      <c r="A37" s="6">
        <f>Касса!A37</f>
        <v/>
      </c>
      <c r="B37" s="3" t="n"/>
      <c r="C37" s="9" t="n"/>
      <c r="D37" s="11" t="n"/>
      <c r="E37" s="6">
        <f>Касса!E37</f>
        <v/>
      </c>
      <c r="F37" s="3" t="n"/>
      <c r="G37" s="9" t="n"/>
      <c r="H37" s="19" t="n"/>
      <c r="I37" s="20" t="n"/>
      <c r="J37" s="18" t="n"/>
      <c r="K37" s="20" t="n"/>
      <c r="L37" s="18" t="n"/>
    </row>
    <row r="38" ht="15.5" customHeight="1" s="78">
      <c r="A38" s="6">
        <f>Касса!A38</f>
        <v/>
      </c>
      <c r="B38" s="3" t="n"/>
      <c r="C38" s="9" t="n"/>
      <c r="D38" s="11" t="n"/>
      <c r="E38" s="6">
        <f>Касса!E38</f>
        <v/>
      </c>
      <c r="F38" s="3" t="n"/>
      <c r="G38" s="9" t="n"/>
      <c r="H38" s="19" t="n"/>
      <c r="I38" s="20" t="n"/>
      <c r="J38" s="18" t="n"/>
      <c r="K38" s="20" t="n"/>
      <c r="L38" s="18" t="n"/>
    </row>
    <row r="39" ht="15.5" customHeight="1" s="78">
      <c r="A39" s="6">
        <f>Касса!A39</f>
        <v/>
      </c>
      <c r="B39" s="3" t="n"/>
      <c r="C39" s="9" t="n"/>
      <c r="D39" s="17" t="n"/>
      <c r="E39" s="53" t="n"/>
      <c r="F39" s="53" t="n"/>
      <c r="G39" s="53" t="n"/>
      <c r="H39" s="57" t="n"/>
      <c r="I39" s="58" t="n"/>
      <c r="J39" s="66" t="n"/>
      <c r="K39" s="67" t="n"/>
      <c r="L39" s="18" t="n"/>
    </row>
    <row r="40" ht="15.5" customHeight="1" s="78">
      <c r="A40" s="6">
        <f>Касса!A40</f>
        <v/>
      </c>
      <c r="B40" s="3" t="n"/>
      <c r="C40" s="9" t="n"/>
      <c r="D40" s="11" t="n"/>
      <c r="E40" s="10" t="n"/>
      <c r="F40" s="15" t="n"/>
      <c r="G40" s="15" t="n"/>
      <c r="H40" s="57" t="n"/>
      <c r="I40" s="58" t="n"/>
      <c r="J40" s="66" t="n"/>
      <c r="K40" s="67" t="n"/>
      <c r="L40" s="18" t="n"/>
    </row>
    <row r="41" ht="16.5" customHeight="1" s="78">
      <c r="A41" s="6">
        <f>Касса!A41</f>
        <v/>
      </c>
      <c r="B41" s="3" t="n"/>
      <c r="C41" s="9" t="n"/>
      <c r="D41" s="11" t="n"/>
      <c r="E41" s="10" t="n"/>
      <c r="F41" s="15" t="n"/>
      <c r="G41" s="54" t="n"/>
      <c r="H41" s="59" t="n"/>
      <c r="I41" s="58" t="n"/>
      <c r="J41" s="66" t="n"/>
      <c r="K41" s="67" t="n"/>
      <c r="L41" s="18" t="n"/>
    </row>
    <row r="42" ht="16.5" customHeight="1" s="78">
      <c r="A42" s="6">
        <f>Касса!A42</f>
        <v/>
      </c>
      <c r="B42" s="3" t="n"/>
      <c r="C42" s="9" t="n"/>
      <c r="D42" s="17" t="n"/>
      <c r="E42" s="10" t="n"/>
      <c r="F42" s="15" t="n"/>
      <c r="G42" s="54" t="n"/>
      <c r="H42" s="57" t="n"/>
      <c r="I42" s="58" t="n"/>
      <c r="J42" s="66" t="n"/>
      <c r="K42" s="67" t="n"/>
      <c r="L42" s="18" t="n"/>
    </row>
    <row r="43" ht="16.5" customHeight="1" s="78">
      <c r="A43" s="53" t="n"/>
      <c r="B43" s="55" t="n"/>
      <c r="C43" s="56" t="n"/>
      <c r="D43" s="65" t="n"/>
      <c r="E43" s="10" t="n"/>
      <c r="F43" s="15" t="n"/>
      <c r="G43" s="54" t="n"/>
      <c r="H43" s="60" t="n"/>
      <c r="I43" s="58" t="n"/>
      <c r="J43" s="66" t="n"/>
      <c r="K43" s="67" t="n"/>
      <c r="L43" s="18" t="n"/>
    </row>
    <row r="44" ht="14.25" customHeight="1" s="78">
      <c r="A44" s="86" t="n"/>
      <c r="H44" s="61" t="n"/>
      <c r="I44" s="58" t="n"/>
      <c r="J44" s="66" t="n"/>
      <c r="K44" s="67" t="n"/>
      <c r="L44" s="18" t="n"/>
    </row>
    <row r="45" ht="15.5" customHeight="1" s="78">
      <c r="A45" s="76" t="n"/>
      <c r="H45" s="59" t="n"/>
      <c r="I45" s="58" t="n"/>
      <c r="J45" s="66" t="n"/>
      <c r="K45" s="67" t="n"/>
      <c r="L45" s="18" t="n"/>
    </row>
    <row r="46" ht="15.5" customHeight="1" s="78">
      <c r="A46" s="28" t="n"/>
      <c r="B46" s="28" t="n"/>
      <c r="C46" s="28" t="n"/>
      <c r="D46" s="28" t="n"/>
      <c r="E46" s="76" t="n"/>
      <c r="F46" s="76" t="n"/>
      <c r="G46" s="76" t="n"/>
      <c r="H46" s="59" t="n"/>
      <c r="I46" s="58" t="n"/>
      <c r="J46" s="66" t="n"/>
      <c r="K46" s="67" t="n"/>
      <c r="L46" s="18" t="n"/>
    </row>
    <row r="47" ht="16.5" customHeight="1" s="78">
      <c r="A47" s="28" t="n"/>
      <c r="B47" s="28" t="n"/>
      <c r="C47" s="28" t="n"/>
      <c r="D47" s="28" t="n"/>
      <c r="E47" s="28" t="n"/>
      <c r="F47" s="28" t="n"/>
      <c r="G47" s="28" t="n"/>
      <c r="H47" s="59" t="n"/>
      <c r="I47" s="58" t="n"/>
      <c r="J47" s="66" t="n"/>
      <c r="K47" s="67" t="n"/>
      <c r="L47" s="18" t="n"/>
    </row>
    <row r="48" ht="15.75" customHeight="1" s="78">
      <c r="A48" s="28" t="n"/>
      <c r="B48" s="28" t="n"/>
      <c r="C48" s="28" t="n"/>
      <c r="D48" s="28" t="n"/>
      <c r="E48" s="28" t="n"/>
      <c r="F48" s="28" t="n"/>
      <c r="G48" s="28" t="n"/>
      <c r="H48" s="59" t="n"/>
      <c r="I48" s="58" t="n"/>
      <c r="J48" s="66" t="n"/>
      <c r="K48" s="67" t="n"/>
      <c r="L48" s="18" t="n"/>
    </row>
    <row r="49" ht="15.75" customHeight="1" s="78">
      <c r="H49" s="61" t="n"/>
      <c r="I49" s="58" t="n"/>
      <c r="J49" s="66" t="n"/>
      <c r="K49" s="67" t="n"/>
      <c r="L49" s="18" t="n"/>
    </row>
    <row r="50" ht="15.5" customHeight="1" s="78">
      <c r="H50" s="59" t="n"/>
      <c r="I50" s="58" t="n"/>
      <c r="J50" s="66" t="n"/>
      <c r="K50" s="67" t="n"/>
      <c r="L50" s="18" t="n"/>
    </row>
    <row r="51" ht="15.5" customHeight="1" s="78">
      <c r="H51" s="59" t="n"/>
      <c r="I51" s="58" t="n"/>
      <c r="J51" s="66" t="n"/>
      <c r="K51" s="67" t="n"/>
      <c r="L51" s="18" t="n"/>
    </row>
    <row r="52" ht="18" customHeight="1" s="78">
      <c r="H52" s="59" t="n"/>
      <c r="I52" s="58" t="n"/>
      <c r="J52" s="66" t="n"/>
      <c r="K52" s="67" t="n"/>
      <c r="L52" s="18" t="n"/>
    </row>
    <row r="53" ht="15.5" customHeight="1" s="78">
      <c r="H53" s="59" t="n"/>
      <c r="I53" s="58" t="n"/>
      <c r="J53" s="66" t="n"/>
      <c r="K53" s="67" t="n"/>
      <c r="L53" s="18" t="n"/>
    </row>
    <row r="54" ht="15.5" customHeight="1" s="78">
      <c r="H54" s="59" t="n"/>
      <c r="I54" s="58" t="n"/>
      <c r="J54" s="66" t="n"/>
      <c r="K54" s="66" t="n"/>
      <c r="L54" s="18" t="n"/>
    </row>
    <row r="55" ht="18" customHeight="1" s="78">
      <c r="H55" s="59" t="n"/>
      <c r="I55" s="58" t="n"/>
      <c r="J55" s="66" t="n"/>
      <c r="K55" s="66" t="n"/>
      <c r="L55" s="18" t="n"/>
    </row>
    <row r="56" ht="18.75" customHeight="1" s="78">
      <c r="H56" s="59" t="n"/>
      <c r="I56" s="58" t="n"/>
      <c r="J56" s="66" t="n"/>
      <c r="K56" s="66" t="n"/>
      <c r="L56" s="18" t="n"/>
    </row>
    <row r="57" ht="15.5" customHeight="1" s="78">
      <c r="H57" s="1" t="n"/>
      <c r="I57" s="19" t="n"/>
      <c r="J57" s="18" t="n"/>
      <c r="K57" s="18" t="n"/>
      <c r="L57" s="18" t="n"/>
    </row>
    <row r="58" ht="15.5" customHeight="1" s="78">
      <c r="H58" s="1" t="n"/>
      <c r="I58" s="19" t="n"/>
      <c r="J58" s="18" t="n"/>
      <c r="K58" s="18" t="n"/>
      <c r="L58" s="18" t="n"/>
    </row>
    <row r="59" ht="15.5" customHeight="1" s="78">
      <c r="H59" s="1" t="n"/>
      <c r="I59" s="19" t="n"/>
      <c r="J59" s="18" t="n"/>
      <c r="K59" s="18" t="n"/>
      <c r="L59" s="18" t="n"/>
    </row>
    <row r="60" ht="18" customHeight="1" s="78">
      <c r="H60" s="1" t="n"/>
      <c r="I60" s="19" t="n"/>
      <c r="J60" s="18" t="n"/>
      <c r="K60" s="18" t="n"/>
      <c r="L60" s="18" t="n"/>
    </row>
    <row r="61" hidden="1" ht="15.5" customHeight="1" s="78">
      <c r="H61" s="1" t="n"/>
      <c r="I61" s="18" t="n"/>
      <c r="J61" s="18" t="n"/>
      <c r="K61" s="18" t="n"/>
      <c r="L61" s="18" t="n"/>
    </row>
    <row r="62" hidden="1" ht="15.5" customHeight="1" s="78">
      <c r="H62" s="1" t="n"/>
      <c r="I62" s="18" t="n"/>
      <c r="J62" s="18" t="n"/>
      <c r="K62" s="18" t="n"/>
      <c r="L62" s="18" t="n"/>
    </row>
    <row r="63" ht="27" customHeight="1" s="78">
      <c r="I63" s="18" t="n"/>
      <c r="J63" s="18" t="n"/>
      <c r="K63" s="18" t="n"/>
      <c r="L63" s="18" t="n"/>
    </row>
    <row r="64" ht="12.75" customHeight="1" s="78">
      <c r="I64" s="18" t="n"/>
      <c r="J64" s="18" t="n"/>
      <c r="K64" s="18" t="n"/>
      <c r="L64" s="18" t="n"/>
    </row>
    <row r="65" ht="23.25" customHeight="1" s="78">
      <c r="I65" s="18" t="n"/>
      <c r="J65" s="18" t="n"/>
      <c r="K65" s="18" t="n"/>
      <c r="L65" s="18" t="n"/>
    </row>
    <row r="66" ht="15.5" customHeight="1" s="78">
      <c r="I66" s="18" t="n"/>
      <c r="J66" s="18" t="n"/>
      <c r="K66" s="18" t="n"/>
      <c r="L66" s="18" t="n"/>
    </row>
    <row r="67" ht="4.5" customHeight="1" s="78"/>
  </sheetData>
  <mergeCells count="7">
    <mergeCell ref="E2:G2"/>
    <mergeCell ref="B2:C2"/>
    <mergeCell ref="A44:G44"/>
    <mergeCell ref="A45:G45"/>
    <mergeCell ref="B3:C3"/>
    <mergeCell ref="E3:G3"/>
    <mergeCell ref="A5:G5"/>
  </mergeCells>
  <pageMargins left="0.03937007874015748" right="0.03937007874015748" top="0" bottom="0" header="0.1181102362204725" footer="0.1181102362204725"/>
  <pageSetup orientation="portrait" paperSize="9" scale="75" firstPageNumber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Патриот 1</dc:creator>
  <dcterms:created xmlns:dcterms="http://purl.org/dc/terms/" xmlns:xsi="http://www.w3.org/2001/XMLSchema-instance" xsi:type="dcterms:W3CDTF">2018-05-18T13:55:54Z</dcterms:created>
  <dcterms:modified xmlns:dcterms="http://purl.org/dc/terms/" xmlns:xsi="http://www.w3.org/2001/XMLSchema-instance" xsi:type="dcterms:W3CDTF">2025-09-22T23:45:11Z</dcterms:modified>
  <cp:lastModifiedBy>Екатерина Колосова</cp:lastModifiedBy>
  <cp:lastPrinted>2025-09-09T17:49:16Z</cp:lastPrinted>
</cp:coreProperties>
</file>